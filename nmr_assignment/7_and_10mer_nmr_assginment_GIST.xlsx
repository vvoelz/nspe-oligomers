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tarwing/voelzlab/git/nspe-oligomers/nmr_assignment/"/>
    </mc:Choice>
  </mc:AlternateContent>
  <xr:revisionPtr revIDLastSave="0" documentId="13_ncr:1_{AC277B77-03F4-3243-A099-0173F2B8EC3F}" xr6:coauthVersionLast="47" xr6:coauthVersionMax="47" xr10:uidLastSave="{00000000-0000-0000-0000-000000000000}"/>
  <bookViews>
    <workbookView xWindow="0" yWindow="740" windowWidth="29400" windowHeight="18380" activeTab="2" xr2:uid="{5277F7C8-F95D-7E41-AE2E-3F4F029B4307}"/>
  </bookViews>
  <sheets>
    <sheet name="7mer_1_recal" sheetId="4" r:id="rId1"/>
    <sheet name="7mer_2_recal" sheetId="5" r:id="rId2"/>
    <sheet name="10mer_recal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9" i="8" l="1"/>
  <c r="AC35" i="8"/>
  <c r="AC31" i="8"/>
  <c r="U29" i="8"/>
  <c r="M29" i="8"/>
  <c r="AC27" i="8"/>
  <c r="U26" i="8"/>
  <c r="M26" i="8"/>
  <c r="AC23" i="8"/>
  <c r="U23" i="8"/>
  <c r="B23" i="8"/>
  <c r="V37" i="8" s="1"/>
  <c r="W37" i="8" s="1"/>
  <c r="M22" i="8"/>
  <c r="U20" i="8"/>
  <c r="AC19" i="8"/>
  <c r="M18" i="8"/>
  <c r="U17" i="8"/>
  <c r="AC15" i="8"/>
  <c r="U14" i="8"/>
  <c r="AC11" i="8"/>
  <c r="U11" i="8"/>
  <c r="M11" i="8"/>
  <c r="M9" i="8"/>
  <c r="U8" i="8"/>
  <c r="AC7" i="8"/>
  <c r="M6" i="8"/>
  <c r="M4" i="8"/>
  <c r="AC3" i="8"/>
  <c r="AG27" i="5"/>
  <c r="X27" i="5"/>
  <c r="AG26" i="5"/>
  <c r="X26" i="5"/>
  <c r="X25" i="5"/>
  <c r="AG23" i="5"/>
  <c r="O23" i="5"/>
  <c r="AG22" i="5"/>
  <c r="X22" i="5"/>
  <c r="O21" i="5"/>
  <c r="X20" i="5"/>
  <c r="AG19" i="5"/>
  <c r="AG18" i="5"/>
  <c r="X18" i="5"/>
  <c r="O18" i="5"/>
  <c r="O17" i="5"/>
  <c r="X16" i="5"/>
  <c r="O16" i="5"/>
  <c r="AG15" i="5"/>
  <c r="AG14" i="5"/>
  <c r="X14" i="5"/>
  <c r="O13" i="5"/>
  <c r="X12" i="5"/>
  <c r="AG11" i="5"/>
  <c r="AG10" i="5"/>
  <c r="X10" i="5"/>
  <c r="O10" i="5"/>
  <c r="X8" i="5"/>
  <c r="AG7" i="5"/>
  <c r="O7" i="5"/>
  <c r="F7" i="5"/>
  <c r="AG6" i="5"/>
  <c r="X6" i="5"/>
  <c r="F6" i="5"/>
  <c r="F5" i="5"/>
  <c r="X4" i="5"/>
  <c r="O4" i="5"/>
  <c r="AG3" i="5"/>
  <c r="O3" i="5"/>
  <c r="F3" i="5"/>
  <c r="AG2" i="5"/>
  <c r="X2" i="5"/>
  <c r="O2" i="5"/>
  <c r="F2" i="5"/>
  <c r="AH27" i="4"/>
  <c r="AH26" i="4"/>
  <c r="AH23" i="4"/>
  <c r="P23" i="4"/>
  <c r="AH22" i="4"/>
  <c r="P21" i="4"/>
  <c r="AH19" i="4"/>
  <c r="AH18" i="4"/>
  <c r="P18" i="4"/>
  <c r="Y17" i="4"/>
  <c r="P17" i="4"/>
  <c r="Y16" i="4"/>
  <c r="P16" i="4"/>
  <c r="AH15" i="4"/>
  <c r="Y15" i="4"/>
  <c r="AH14" i="4"/>
  <c r="P14" i="4"/>
  <c r="P13" i="4"/>
  <c r="AH11" i="4"/>
  <c r="P11" i="4"/>
  <c r="AH10" i="4"/>
  <c r="Y10" i="4"/>
  <c r="Y8" i="4"/>
  <c r="P8" i="4"/>
  <c r="AH7" i="4"/>
  <c r="AH6" i="4"/>
  <c r="Y6" i="4"/>
  <c r="P5" i="4"/>
  <c r="G5" i="4"/>
  <c r="Y4" i="4"/>
  <c r="AH3" i="4"/>
  <c r="P3" i="4"/>
  <c r="G3" i="4"/>
  <c r="AH2" i="4"/>
  <c r="Y2" i="4"/>
  <c r="P2" i="4"/>
  <c r="G2" i="4"/>
  <c r="AG27" i="4"/>
  <c r="AG26" i="4"/>
  <c r="AG23" i="4"/>
  <c r="O23" i="4"/>
  <c r="AG22" i="4"/>
  <c r="O21" i="4"/>
  <c r="AG19" i="4"/>
  <c r="AG18" i="4"/>
  <c r="O18" i="4"/>
  <c r="X17" i="4"/>
  <c r="O17" i="4"/>
  <c r="X16" i="4"/>
  <c r="O16" i="4"/>
  <c r="AG15" i="4"/>
  <c r="X15" i="4"/>
  <c r="AG14" i="4"/>
  <c r="O14" i="4"/>
  <c r="X13" i="4"/>
  <c r="O13" i="4"/>
  <c r="AG11" i="4"/>
  <c r="O11" i="4"/>
  <c r="AG10" i="4"/>
  <c r="X10" i="4"/>
  <c r="X8" i="4"/>
  <c r="O8" i="4"/>
  <c r="AG7" i="4"/>
  <c r="AG6" i="4"/>
  <c r="X6" i="4"/>
  <c r="O5" i="4"/>
  <c r="F5" i="4"/>
  <c r="X4" i="4"/>
  <c r="AG3" i="4"/>
  <c r="O3" i="4"/>
  <c r="F3" i="4"/>
  <c r="AG2" i="4"/>
  <c r="X2" i="4"/>
  <c r="O2" i="4"/>
  <c r="F2" i="4"/>
  <c r="AF27" i="5"/>
  <c r="W27" i="5"/>
  <c r="AF26" i="5"/>
  <c r="W26" i="5"/>
  <c r="W25" i="5"/>
  <c r="AF23" i="5"/>
  <c r="N23" i="5"/>
  <c r="AF22" i="5"/>
  <c r="W22" i="5"/>
  <c r="N21" i="5"/>
  <c r="W20" i="5"/>
  <c r="AF19" i="5"/>
  <c r="AF18" i="5"/>
  <c r="W18" i="5"/>
  <c r="N18" i="5"/>
  <c r="N17" i="5"/>
  <c r="W16" i="5"/>
  <c r="N16" i="5"/>
  <c r="AF15" i="5"/>
  <c r="AF14" i="5"/>
  <c r="W14" i="5"/>
  <c r="N13" i="5"/>
  <c r="W12" i="5"/>
  <c r="AF11" i="5"/>
  <c r="AF10" i="5"/>
  <c r="W10" i="5"/>
  <c r="N10" i="5"/>
  <c r="W8" i="5"/>
  <c r="AF7" i="5"/>
  <c r="N7" i="5"/>
  <c r="E7" i="5"/>
  <c r="AF6" i="5"/>
  <c r="W6" i="5"/>
  <c r="E6" i="5"/>
  <c r="E5" i="5"/>
  <c r="W4" i="5"/>
  <c r="N4" i="5"/>
  <c r="AF3" i="5"/>
  <c r="N3" i="5"/>
  <c r="E3" i="5"/>
  <c r="AF2" i="5"/>
  <c r="W2" i="5"/>
  <c r="N2" i="5"/>
  <c r="E2" i="5"/>
  <c r="AF3" i="4"/>
  <c r="C14" i="5"/>
  <c r="D11" i="4"/>
  <c r="N11" i="4"/>
  <c r="V34" i="8" l="1"/>
  <c r="W34" i="8" s="1"/>
  <c r="V42" i="8"/>
  <c r="W42" i="8" s="1"/>
  <c r="AD38" i="8"/>
  <c r="AE38" i="8" s="1"/>
  <c r="N29" i="8"/>
  <c r="O29" i="8" s="1"/>
  <c r="AD31" i="8"/>
  <c r="AE31" i="8" s="1"/>
  <c r="AD34" i="8"/>
  <c r="AE34" i="8" s="1"/>
  <c r="AD42" i="8"/>
  <c r="AE42" i="8" s="1"/>
  <c r="V39" i="8"/>
  <c r="W39" i="8" s="1"/>
  <c r="N6" i="8"/>
  <c r="O6" i="8" s="1"/>
  <c r="N32" i="8"/>
  <c r="O32" i="8" s="1"/>
  <c r="V43" i="8"/>
  <c r="W43" i="8" s="1"/>
  <c r="AD7" i="8"/>
  <c r="AE7" i="8" s="1"/>
  <c r="V14" i="8"/>
  <c r="W14" i="8" s="1"/>
  <c r="N26" i="8"/>
  <c r="O26" i="8" s="1"/>
  <c r="F10" i="8"/>
  <c r="G10" i="8" s="1"/>
  <c r="AD10" i="8"/>
  <c r="AE10" i="8" s="1"/>
  <c r="V29" i="8"/>
  <c r="W29" i="8" s="1"/>
  <c r="AD35" i="8"/>
  <c r="AE35" i="8" s="1"/>
  <c r="AD23" i="8"/>
  <c r="AE23" i="8" s="1"/>
  <c r="AD26" i="8"/>
  <c r="AE26" i="8" s="1"/>
  <c r="N33" i="8"/>
  <c r="O33" i="8" s="1"/>
  <c r="AD39" i="8"/>
  <c r="AE39" i="8" s="1"/>
  <c r="V45" i="8"/>
  <c r="W45" i="8" s="1"/>
  <c r="AD2" i="8"/>
  <c r="AE2" i="8" s="1"/>
  <c r="V11" i="8"/>
  <c r="W11" i="8" s="1"/>
  <c r="V17" i="8"/>
  <c r="W17" i="8" s="1"/>
  <c r="N22" i="8"/>
  <c r="O22" i="8" s="1"/>
  <c r="AD30" i="8"/>
  <c r="AE30" i="8" s="1"/>
  <c r="V36" i="8"/>
  <c r="W36" i="8" s="1"/>
  <c r="V33" i="8"/>
  <c r="W33" i="8" s="1"/>
  <c r="V41" i="8"/>
  <c r="W41" i="8" s="1"/>
  <c r="V47" i="8"/>
  <c r="W47" i="8" s="1"/>
  <c r="F4" i="8"/>
  <c r="G4" i="8" s="1"/>
  <c r="N9" i="8"/>
  <c r="O9" i="8" s="1"/>
  <c r="N20" i="8"/>
  <c r="O20" i="8" s="1"/>
  <c r="F3" i="8"/>
  <c r="G3" i="8" s="1"/>
  <c r="N4" i="8"/>
  <c r="O4" i="8" s="1"/>
  <c r="F8" i="8"/>
  <c r="G8" i="8" s="1"/>
  <c r="AD14" i="8"/>
  <c r="AE14" i="8" s="1"/>
  <c r="V23" i="8"/>
  <c r="W23" i="8" s="1"/>
  <c r="V6" i="8"/>
  <c r="W6" i="8" s="1"/>
  <c r="AD11" i="8"/>
  <c r="AE11" i="8" s="1"/>
  <c r="N18" i="8"/>
  <c r="O18" i="8" s="1"/>
  <c r="V20" i="8"/>
  <c r="W20" i="8" s="1"/>
  <c r="V26" i="8"/>
  <c r="W26" i="8" s="1"/>
  <c r="F2" i="8"/>
  <c r="G2" i="8" s="1"/>
  <c r="V3" i="8"/>
  <c r="W3" i="8" s="1"/>
  <c r="V4" i="8"/>
  <c r="W4" i="8" s="1"/>
  <c r="AD6" i="8"/>
  <c r="AE6" i="8" s="1"/>
  <c r="V8" i="8"/>
  <c r="W8" i="8" s="1"/>
  <c r="N13" i="8"/>
  <c r="O13" i="8" s="1"/>
  <c r="AD15" i="8"/>
  <c r="AE15" i="8" s="1"/>
  <c r="AD18" i="8"/>
  <c r="AE18" i="8" s="1"/>
  <c r="N2" i="8"/>
  <c r="O2" i="8" s="1"/>
  <c r="F5" i="8"/>
  <c r="G5" i="8" s="1"/>
  <c r="AD3" i="8"/>
  <c r="AE3" i="8" s="1"/>
  <c r="F7" i="8"/>
  <c r="G7" i="8" s="1"/>
  <c r="F9" i="8"/>
  <c r="G9" i="8" s="1"/>
  <c r="N11" i="8"/>
  <c r="O11" i="8" s="1"/>
  <c r="N14" i="8"/>
  <c r="O14" i="8" s="1"/>
  <c r="N16" i="8"/>
  <c r="O16" i="8" s="1"/>
  <c r="N25" i="8"/>
  <c r="O25" i="8" s="1"/>
  <c r="V2" i="8"/>
  <c r="W2" i="8" s="1"/>
  <c r="F6" i="8"/>
  <c r="G6" i="8" s="1"/>
  <c r="AD19" i="8"/>
  <c r="AE19" i="8" s="1"/>
  <c r="AD22" i="8"/>
  <c r="AE22" i="8" s="1"/>
  <c r="AD27" i="8"/>
  <c r="AE27" i="8" s="1"/>
  <c r="V31" i="8"/>
  <c r="W31" i="8" s="1"/>
  <c r="AE27" i="5"/>
  <c r="AE23" i="5"/>
  <c r="AE19" i="5"/>
  <c r="AE15" i="5"/>
  <c r="AE11" i="5"/>
  <c r="AE7" i="5"/>
  <c r="AE3" i="5"/>
  <c r="V22" i="5"/>
  <c r="V18" i="5"/>
  <c r="V16" i="5"/>
  <c r="V12" i="5"/>
  <c r="V8" i="5"/>
  <c r="V4" i="5"/>
  <c r="M23" i="5"/>
  <c r="M21" i="5"/>
  <c r="M18" i="5"/>
  <c r="M13" i="5"/>
  <c r="M10" i="5"/>
  <c r="M7" i="5"/>
  <c r="M4" i="5"/>
  <c r="AF27" i="4"/>
  <c r="AF23" i="4"/>
  <c r="AF19" i="4"/>
  <c r="AF15" i="4"/>
  <c r="AF11" i="4"/>
  <c r="AF7" i="4"/>
  <c r="W13" i="4"/>
  <c r="W10" i="4"/>
  <c r="W6" i="4"/>
  <c r="W2" i="4"/>
  <c r="N23" i="4"/>
  <c r="N21" i="4"/>
  <c r="N18" i="4"/>
  <c r="N8" i="4"/>
  <c r="N5" i="4"/>
</calcChain>
</file>

<file path=xl/sharedStrings.xml><?xml version="1.0" encoding="utf-8"?>
<sst xmlns="http://schemas.openxmlformats.org/spreadsheetml/2006/main" count="334" uniqueCount="132">
  <si>
    <t>Long Range</t>
    <phoneticPr fontId="0" type="noConversion"/>
  </si>
  <si>
    <t>w1</t>
  </si>
  <si>
    <t>w2</t>
  </si>
  <si>
    <t>Volume</t>
    <phoneticPr fontId="0" type="noConversion"/>
  </si>
  <si>
    <t>Vol/V_ref</t>
  </si>
  <si>
    <t>Data Height</t>
  </si>
  <si>
    <t>Nearby</t>
    <phoneticPr fontId="0" type="noConversion"/>
  </si>
  <si>
    <t>Intra</t>
    <phoneticPr fontId="0" type="noConversion"/>
  </si>
  <si>
    <t>COSY</t>
    <phoneticPr fontId="0" type="noConversion"/>
  </si>
  <si>
    <t>6α12-7NH2</t>
  </si>
  <si>
    <t>1α11-2α2</t>
  </si>
  <si>
    <t>2β3-α11</t>
  </si>
  <si>
    <t>1β3-α2</t>
  </si>
  <si>
    <t>6α12-7NH1</t>
  </si>
  <si>
    <t>1α12-2α2</t>
  </si>
  <si>
    <t>1α11-α12</t>
  </si>
  <si>
    <t>2α11-α2</t>
  </si>
  <si>
    <t>3α12-7NH1</t>
  </si>
  <si>
    <t>3α12-2α12</t>
  </si>
  <si>
    <t>3β3-α11</t>
  </si>
  <si>
    <t>2β3-α2</t>
  </si>
  <si>
    <t>2α11-α12</t>
  </si>
  <si>
    <t>4α11-3α11</t>
  </si>
  <si>
    <t>3α11-α2</t>
  </si>
  <si>
    <t>V_ref</t>
  </si>
  <si>
    <t>6β3-α11</t>
  </si>
  <si>
    <t>3β3-α2</t>
  </si>
  <si>
    <t>4α11-5α2</t>
  </si>
  <si>
    <t>3α11-α12</t>
  </si>
  <si>
    <t>4α12-5α2</t>
  </si>
  <si>
    <t>7β3-α11</t>
  </si>
  <si>
    <t>5α11-6α2</t>
  </si>
  <si>
    <t>4β3-α2</t>
  </si>
  <si>
    <t>strong</t>
  </si>
  <si>
    <t>5α12-6α2</t>
  </si>
  <si>
    <t>7α11-α2</t>
  </si>
  <si>
    <t>4α11-α12</t>
  </si>
  <si>
    <t>medium</t>
  </si>
  <si>
    <t>7α12-NH2</t>
  </si>
  <si>
    <t>weak</t>
  </si>
  <si>
    <t>7α12-NH1</t>
  </si>
  <si>
    <t>6β3-5α11</t>
  </si>
  <si>
    <t>5β3-α2</t>
  </si>
  <si>
    <t>5α11-α12</t>
  </si>
  <si>
    <t>6α11-7α12</t>
  </si>
  <si>
    <t>6β3-α2</t>
  </si>
  <si>
    <t>7α12-6α12</t>
  </si>
  <si>
    <t>6α11-α12</t>
  </si>
  <si>
    <t>7β3-α2</t>
  </si>
  <si>
    <t>7α11-α12</t>
  </si>
  <si>
    <t>1α11-α2</t>
  </si>
  <si>
    <t>2β3-1α11</t>
  </si>
  <si>
    <t>3α12-7NH2</t>
  </si>
  <si>
    <t>3α11-7NH1</t>
  </si>
  <si>
    <t>2α12-3α12</t>
  </si>
  <si>
    <t>4α12-3α12</t>
  </si>
  <si>
    <t>4β3-α11</t>
  </si>
  <si>
    <t>5α11-4α12</t>
  </si>
  <si>
    <t>4α11-α2</t>
  </si>
  <si>
    <t>5β3-α11</t>
  </si>
  <si>
    <t>6β3-5α12</t>
  </si>
  <si>
    <t>5β3-α12</t>
  </si>
  <si>
    <t>5α12-α2</t>
  </si>
  <si>
    <t>7α11-NH1</t>
  </si>
  <si>
    <t>7α11-NH2</t>
  </si>
  <si>
    <t>Nearby Residue</t>
    <phoneticPr fontId="0" type="noConversion"/>
  </si>
  <si>
    <t>w1</t>
    <phoneticPr fontId="0" type="noConversion"/>
  </si>
  <si>
    <t>w2</t>
    <phoneticPr fontId="0" type="noConversion"/>
  </si>
  <si>
    <t>COSY Peaks</t>
    <phoneticPr fontId="0" type="noConversion"/>
  </si>
  <si>
    <t>1α11-2α12</t>
  </si>
  <si>
    <t>1β3-α11</t>
  </si>
  <si>
    <t>1β3-α12</t>
  </si>
  <si>
    <t>2α11-3α12</t>
  </si>
  <si>
    <t>4β3-3α11</t>
  </si>
  <si>
    <t>4β3-3α12</t>
  </si>
  <si>
    <t>3α11-4α2</t>
  </si>
  <si>
    <t>3α12-4α2</t>
  </si>
  <si>
    <t>7β3-α12</t>
  </si>
  <si>
    <t>6α11-7α11</t>
  </si>
  <si>
    <t>8β3-α11</t>
  </si>
  <si>
    <t>7α11-8α2</t>
  </si>
  <si>
    <t>7α12-8α2</t>
  </si>
  <si>
    <t>9β3-α12</t>
  </si>
  <si>
    <t>8α11-9α11</t>
  </si>
  <si>
    <t>10β3-α11</t>
  </si>
  <si>
    <t>8β3-α2</t>
  </si>
  <si>
    <t>10α11-α2</t>
  </si>
  <si>
    <t>8α11-α12</t>
  </si>
  <si>
    <t>9α11-10α2</t>
  </si>
  <si>
    <t>9α12-10α2</t>
  </si>
  <si>
    <r>
      <t>1'</t>
    </r>
    <r>
      <rPr>
        <b/>
        <sz val="11"/>
        <color rgb="FFFF0000"/>
        <rFont val="Calibri"/>
        <family val="2"/>
        <charset val="161"/>
      </rPr>
      <t>α</t>
    </r>
    <r>
      <rPr>
        <b/>
        <sz val="11"/>
        <color rgb="FFFF0000"/>
        <rFont val="Aptos Narrow"/>
        <family val="2"/>
        <charset val="129"/>
        <scheme val="minor"/>
      </rPr>
      <t>1-</t>
    </r>
    <r>
      <rPr>
        <b/>
        <sz val="11"/>
        <color rgb="FFFF0000"/>
        <rFont val="Calibri"/>
        <family val="2"/>
        <charset val="161"/>
      </rPr>
      <t>α</t>
    </r>
    <r>
      <rPr>
        <b/>
        <sz val="11"/>
        <color rgb="FFFF0000"/>
        <rFont val="Aptos Narrow"/>
        <family val="2"/>
        <charset val="129"/>
        <scheme val="minor"/>
      </rPr>
      <t>2</t>
    </r>
  </si>
  <si>
    <r>
      <t>1'</t>
    </r>
    <r>
      <rPr>
        <b/>
        <sz val="11"/>
        <color rgb="FFFF0000"/>
        <rFont val="Calibri"/>
        <family val="2"/>
        <charset val="161"/>
      </rPr>
      <t>β</t>
    </r>
    <r>
      <rPr>
        <b/>
        <sz val="11"/>
        <color rgb="FFFF0000"/>
        <rFont val="Aptos Narrow"/>
        <family val="2"/>
        <charset val="129"/>
        <scheme val="minor"/>
      </rPr>
      <t>3-</t>
    </r>
    <r>
      <rPr>
        <b/>
        <sz val="11"/>
        <color rgb="FFFF0000"/>
        <rFont val="Calibri"/>
        <family val="2"/>
        <charset val="161"/>
      </rPr>
      <t>α</t>
    </r>
    <r>
      <rPr>
        <b/>
        <sz val="11"/>
        <color rgb="FFFF0000"/>
        <rFont val="Aptos Narrow"/>
        <family val="2"/>
        <charset val="129"/>
        <scheme val="minor"/>
      </rPr>
      <t>1</t>
    </r>
  </si>
  <si>
    <t>9β3-α2</t>
  </si>
  <si>
    <t>9α11-α12</t>
  </si>
  <si>
    <t>10β3-α2</t>
  </si>
  <si>
    <t>10α11-α12</t>
  </si>
  <si>
    <t>1'β3-α2</t>
  </si>
  <si>
    <t>5α11-1α2</t>
  </si>
  <si>
    <t>10α11-1α12</t>
  </si>
  <si>
    <t>7β3-1β3</t>
  </si>
  <si>
    <t>5β3-1β3</t>
  </si>
  <si>
    <t>3β3-1α11</t>
  </si>
  <si>
    <t>Long Range</t>
  </si>
  <si>
    <t>Volume</t>
  </si>
  <si>
    <t>Diastans A</t>
  </si>
  <si>
    <t>&lt;= 3.5</t>
  </si>
  <si>
    <t>&lt; = 5</t>
  </si>
  <si>
    <t>Intensity</t>
  </si>
  <si>
    <t>Volume Sum</t>
    <phoneticPr fontId="12" type="noConversion"/>
  </si>
  <si>
    <r>
      <t>5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Aptos Narrow"/>
        <family val="2"/>
        <scheme val="minor"/>
      </rPr>
      <t>3-4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Aptos Narrow"/>
        <family val="2"/>
        <scheme val="minor"/>
      </rPr>
      <t>11</t>
    </r>
    <phoneticPr fontId="12" type="noConversion"/>
  </si>
  <si>
    <t>1.8*(Vref/V)**(-1.6)</t>
  </si>
  <si>
    <t>&lt;= 1.8</t>
  </si>
  <si>
    <t>r&lt;=2.5</t>
    <phoneticPr fontId="12" type="noConversion"/>
  </si>
  <si>
    <t>2.5&lt;r&lt;3.5</t>
    <phoneticPr fontId="12" type="noConversion"/>
  </si>
  <si>
    <t>3.5&lt;r&lt;5.0</t>
    <phoneticPr fontId="12" type="noConversion"/>
  </si>
  <si>
    <t>3.0&lt;r&lt;3.5</t>
    <phoneticPr fontId="12" type="noConversion"/>
  </si>
  <si>
    <t>Volume Sum</t>
    <phoneticPr fontId="7" type="noConversion"/>
  </si>
  <si>
    <r>
      <t>8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Aptos Narrow"/>
        <family val="2"/>
        <scheme val="minor"/>
      </rPr>
      <t>12-1NH</t>
    </r>
    <r>
      <rPr>
        <vertAlign val="superscript"/>
        <sz val="12"/>
        <color theme="1"/>
        <rFont val="Aptos Narrow"/>
        <family val="3"/>
        <charset val="129"/>
        <scheme val="minor"/>
      </rPr>
      <t>+</t>
    </r>
    <r>
      <rPr>
        <sz val="12"/>
        <color theme="1"/>
        <rFont val="Aptos Narrow"/>
        <family val="2"/>
        <scheme val="minor"/>
      </rPr>
      <t>1</t>
    </r>
  </si>
  <si>
    <r>
      <t>8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Aptos Narrow"/>
        <family val="2"/>
        <scheme val="minor"/>
      </rPr>
      <t>12-1NH</t>
    </r>
    <r>
      <rPr>
        <vertAlign val="superscript"/>
        <sz val="12"/>
        <color theme="1"/>
        <rFont val="Aptos Narrow"/>
        <family val="3"/>
        <charset val="129"/>
        <scheme val="minor"/>
      </rPr>
      <t>+</t>
    </r>
    <r>
      <rPr>
        <sz val="12"/>
        <color theme="1"/>
        <rFont val="Aptos Narrow"/>
        <family val="2"/>
        <scheme val="minor"/>
      </rPr>
      <t>2</t>
    </r>
  </si>
  <si>
    <r>
      <t>6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Aptos Narrow"/>
        <family val="2"/>
        <scheme val="minor"/>
      </rPr>
      <t>12-1NH</t>
    </r>
    <r>
      <rPr>
        <vertAlign val="superscript"/>
        <sz val="12"/>
        <color theme="1"/>
        <rFont val="Aptos Narrow"/>
        <family val="3"/>
        <charset val="129"/>
        <scheme val="minor"/>
      </rPr>
      <t>+</t>
    </r>
    <r>
      <rPr>
        <sz val="12"/>
        <color theme="1"/>
        <rFont val="Aptos Narrow"/>
        <family val="2"/>
        <scheme val="minor"/>
      </rPr>
      <t>2</t>
    </r>
  </si>
  <si>
    <r>
      <t>6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Aptos Narrow"/>
        <family val="2"/>
        <scheme val="minor"/>
      </rPr>
      <t>12-1NH</t>
    </r>
    <r>
      <rPr>
        <vertAlign val="superscript"/>
        <sz val="12"/>
        <color theme="1"/>
        <rFont val="Aptos Narrow"/>
        <family val="3"/>
        <charset val="129"/>
        <scheme val="minor"/>
      </rPr>
      <t>+</t>
    </r>
    <r>
      <rPr>
        <sz val="12"/>
        <color theme="1"/>
        <rFont val="Aptos Narrow"/>
        <family val="2"/>
        <scheme val="minor"/>
      </rPr>
      <t>1</t>
    </r>
  </si>
  <si>
    <t>r&lt;=2.5</t>
    <phoneticPr fontId="7" type="noConversion"/>
  </si>
  <si>
    <t>2.5&lt;r&lt;3.5</t>
    <phoneticPr fontId="7" type="noConversion"/>
  </si>
  <si>
    <t>3.5&lt;r&lt;5.0</t>
    <phoneticPr fontId="7" type="noConversion"/>
  </si>
  <si>
    <r>
      <t>1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Aptos Narrow"/>
        <family val="2"/>
        <scheme val="minor"/>
      </rPr>
      <t>2-1NH</t>
    </r>
    <r>
      <rPr>
        <vertAlign val="superscript"/>
        <sz val="12"/>
        <color theme="1"/>
        <rFont val="Aptos Narrow"/>
        <family val="3"/>
        <charset val="129"/>
        <scheme val="minor"/>
      </rPr>
      <t>+</t>
    </r>
    <r>
      <rPr>
        <sz val="12"/>
        <color theme="1"/>
        <rFont val="Aptos Narrow"/>
        <family val="2"/>
        <scheme val="minor"/>
      </rPr>
      <t>1</t>
    </r>
  </si>
  <si>
    <r>
      <t>1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Aptos Narrow"/>
        <family val="2"/>
        <scheme val="minor"/>
      </rPr>
      <t>2-1NH</t>
    </r>
    <r>
      <rPr>
        <vertAlign val="superscript"/>
        <sz val="12"/>
        <color theme="1"/>
        <rFont val="Aptos Narrow"/>
        <family val="3"/>
        <charset val="129"/>
        <scheme val="minor"/>
      </rPr>
      <t>+</t>
    </r>
    <r>
      <rPr>
        <sz val="12"/>
        <color theme="1"/>
        <rFont val="Aptos Narrow"/>
        <family val="2"/>
        <scheme val="minor"/>
      </rPr>
      <t>2</t>
    </r>
  </si>
  <si>
    <r>
      <t>1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Aptos Narrow"/>
        <family val="2"/>
        <scheme val="minor"/>
      </rPr>
      <t>3-1NH</t>
    </r>
    <r>
      <rPr>
        <vertAlign val="superscript"/>
        <sz val="12"/>
        <color theme="1"/>
        <rFont val="Aptos Narrow"/>
        <family val="3"/>
        <charset val="129"/>
        <scheme val="minor"/>
      </rPr>
      <t>+</t>
    </r>
    <r>
      <rPr>
        <sz val="12"/>
        <color theme="1"/>
        <rFont val="Aptos Narrow"/>
        <family val="2"/>
        <scheme val="minor"/>
      </rPr>
      <t>2</t>
    </r>
  </si>
  <si>
    <r>
      <t>1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Aptos Narrow"/>
        <family val="2"/>
        <scheme val="minor"/>
      </rPr>
      <t>12-1NH</t>
    </r>
    <r>
      <rPr>
        <vertAlign val="superscript"/>
        <sz val="12"/>
        <color theme="1"/>
        <rFont val="Aptos Narrow"/>
        <family val="3"/>
        <charset val="129"/>
        <scheme val="minor"/>
      </rPr>
      <t>+</t>
    </r>
    <r>
      <rPr>
        <sz val="12"/>
        <color theme="1"/>
        <rFont val="Aptos Narrow"/>
        <family val="2"/>
        <scheme val="minor"/>
      </rPr>
      <t>1</t>
    </r>
  </si>
  <si>
    <r>
      <t>1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Aptos Narrow"/>
        <family val="2"/>
        <scheme val="minor"/>
      </rPr>
      <t>12-1NH</t>
    </r>
    <r>
      <rPr>
        <vertAlign val="superscript"/>
        <sz val="12"/>
        <color theme="1"/>
        <rFont val="Aptos Narrow"/>
        <family val="3"/>
        <charset val="129"/>
        <scheme val="minor"/>
      </rPr>
      <t>+</t>
    </r>
    <r>
      <rPr>
        <sz val="12"/>
        <color theme="1"/>
        <rFont val="Aptos Narrow"/>
        <family val="2"/>
        <scheme val="minor"/>
      </rPr>
      <t>2</t>
    </r>
  </si>
  <si>
    <r>
      <t>1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Aptos Narrow"/>
        <family val="2"/>
        <scheme val="minor"/>
      </rPr>
      <t>11-1NH</t>
    </r>
    <r>
      <rPr>
        <vertAlign val="superscript"/>
        <sz val="12"/>
        <color theme="1"/>
        <rFont val="Aptos Narrow"/>
        <family val="3"/>
        <charset val="129"/>
        <scheme val="minor"/>
      </rPr>
      <t>+</t>
    </r>
    <r>
      <rPr>
        <sz val="12"/>
        <color theme="1"/>
        <rFont val="Aptos Narrow"/>
        <family val="2"/>
        <scheme val="minor"/>
      </rPr>
      <t>1</t>
    </r>
  </si>
  <si>
    <r>
      <t>1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Aptos Narrow"/>
        <family val="2"/>
        <scheme val="minor"/>
      </rPr>
      <t>3-1NH</t>
    </r>
    <r>
      <rPr>
        <vertAlign val="superscript"/>
        <sz val="12"/>
        <color theme="1"/>
        <rFont val="Aptos Narrow"/>
        <family val="3"/>
        <charset val="129"/>
        <scheme val="minor"/>
      </rPr>
      <t>+</t>
    </r>
    <r>
      <rPr>
        <sz val="12"/>
        <color theme="1"/>
        <rFont val="Aptos Narrow"/>
        <family val="2"/>
        <scheme val="minor"/>
      </rPr>
      <t>1</t>
    </r>
  </si>
  <si>
    <r>
      <t>1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Aptos Narrow"/>
        <family val="2"/>
        <scheme val="minor"/>
      </rPr>
      <t>11-1NH</t>
    </r>
    <r>
      <rPr>
        <vertAlign val="superscript"/>
        <sz val="12"/>
        <color theme="1"/>
        <rFont val="Aptos Narrow"/>
        <family val="3"/>
        <charset val="129"/>
        <scheme val="minor"/>
      </rPr>
      <t>+</t>
    </r>
    <r>
      <rPr>
        <sz val="12"/>
        <color theme="1"/>
        <rFont val="Aptos Narrow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</si>
</sst>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charset val="129"/>
      <scheme val="minor"/>
    </font>
    <font>
      <sz val="11"/>
      <color rgb="FFFF0000"/>
      <name val="Aptos Narrow"/>
      <family val="3"/>
      <charset val="129"/>
      <scheme val="minor"/>
    </font>
    <font>
      <sz val="11"/>
      <color rgb="FF0070C0"/>
      <name val="Aptos Narrow"/>
      <family val="2"/>
      <charset val="129"/>
      <scheme val="minor"/>
    </font>
    <font>
      <sz val="11"/>
      <color rgb="FF0070C0"/>
      <name val="Aptos Narrow"/>
      <family val="3"/>
      <charset val="129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charset val="129"/>
      <scheme val="minor"/>
    </font>
    <font>
      <b/>
      <sz val="11"/>
      <color rgb="FFFF0000"/>
      <name val="Calibri"/>
      <family val="2"/>
      <charset val="161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3"/>
      <charset val="129"/>
      <scheme val="minor"/>
    </font>
    <font>
      <b/>
      <sz val="12"/>
      <color rgb="FFFF0000"/>
      <name val="Aptos Narrow"/>
      <family val="3"/>
      <charset val="129"/>
      <scheme val="minor"/>
    </font>
    <font>
      <sz val="12"/>
      <color theme="1"/>
      <name val="Calibri"/>
      <family val="2"/>
      <charset val="161"/>
    </font>
    <font>
      <vertAlign val="superscript"/>
      <sz val="12"/>
      <color theme="1"/>
      <name val="Aptos Narrow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1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1" fontId="5" fillId="0" borderId="0" xfId="0" applyNumberFormat="1" applyFont="1" applyAlignment="1">
      <alignment vertical="center"/>
    </xf>
    <xf numFmtId="0" fontId="0" fillId="3" borderId="0" xfId="0" applyFill="1" applyAlignment="1">
      <alignment vertical="center"/>
    </xf>
    <xf numFmtId="11" fontId="0" fillId="3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7" fillId="0" borderId="0" xfId="0" applyFont="1" applyAlignment="1">
      <alignment vertical="center"/>
    </xf>
    <xf numFmtId="11" fontId="7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  <xf numFmtId="2" fontId="0" fillId="0" borderId="0" xfId="0" applyNumberFormat="1"/>
    <xf numFmtId="2" fontId="3" fillId="0" borderId="0" xfId="0" applyNumberFormat="1" applyFont="1" applyAlignment="1">
      <alignment vertical="center"/>
    </xf>
    <xf numFmtId="2" fontId="6" fillId="2" borderId="0" xfId="0" applyNumberFormat="1" applyFont="1" applyFill="1" applyAlignment="1">
      <alignment vertical="center"/>
    </xf>
    <xf numFmtId="2" fontId="6" fillId="0" borderId="0" xfId="0" applyNumberFormat="1" applyFont="1" applyAlignment="1">
      <alignment vertical="center"/>
    </xf>
    <xf numFmtId="2" fontId="10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0" fillId="5" borderId="0" xfId="0" applyNumberFormat="1" applyFill="1" applyAlignment="1">
      <alignment vertical="center"/>
    </xf>
    <xf numFmtId="2" fontId="0" fillId="4" borderId="0" xfId="0" applyNumberForma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0" fillId="3" borderId="0" xfId="0" applyNumberFormat="1" applyFill="1" applyAlignment="1">
      <alignment vertical="center"/>
    </xf>
    <xf numFmtId="0" fontId="11" fillId="0" borderId="0" xfId="0" applyFont="1" applyAlignment="1">
      <alignment vertical="center"/>
    </xf>
    <xf numFmtId="2" fontId="5" fillId="6" borderId="0" xfId="0" applyNumberFormat="1" applyFont="1" applyFill="1" applyAlignment="1">
      <alignment vertical="center"/>
    </xf>
    <xf numFmtId="11" fontId="5" fillId="6" borderId="0" xfId="0" applyNumberFormat="1" applyFont="1" applyFill="1" applyAlignment="1">
      <alignment vertical="center"/>
    </xf>
    <xf numFmtId="11" fontId="0" fillId="6" borderId="0" xfId="0" applyNumberFormat="1" applyFill="1" applyAlignment="1">
      <alignment vertical="center"/>
    </xf>
    <xf numFmtId="0" fontId="0" fillId="7" borderId="0" xfId="0" applyFill="1" applyAlignment="1">
      <alignment vertical="center"/>
    </xf>
    <xf numFmtId="11" fontId="0" fillId="7" borderId="0" xfId="0" applyNumberFormat="1" applyFill="1" applyAlignment="1">
      <alignment vertical="center"/>
    </xf>
    <xf numFmtId="2" fontId="0" fillId="7" borderId="0" xfId="0" applyNumberFormat="1" applyFill="1" applyAlignment="1">
      <alignment vertical="center"/>
    </xf>
    <xf numFmtId="2" fontId="1" fillId="7" borderId="0" xfId="0" applyNumberFormat="1" applyFont="1" applyFill="1" applyAlignment="1">
      <alignment vertical="center"/>
    </xf>
    <xf numFmtId="2" fontId="6" fillId="7" borderId="0" xfId="0" applyNumberFormat="1" applyFont="1" applyFill="1" applyAlignment="1">
      <alignment vertical="center"/>
    </xf>
    <xf numFmtId="2" fontId="2" fillId="7" borderId="0" xfId="0" applyNumberFormat="1" applyFont="1" applyFill="1" applyAlignment="1">
      <alignment vertical="center"/>
    </xf>
    <xf numFmtId="2" fontId="3" fillId="7" borderId="0" xfId="0" applyNumberFormat="1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11" fontId="3" fillId="7" borderId="0" xfId="0" applyNumberFormat="1" applyFont="1" applyFill="1" applyAlignment="1">
      <alignment vertical="center"/>
    </xf>
    <xf numFmtId="0" fontId="13" fillId="0" borderId="0" xfId="0" applyFont="1" applyAlignment="1">
      <alignment vertical="center"/>
    </xf>
    <xf numFmtId="11" fontId="13" fillId="0" borderId="0" xfId="0" applyNumberFormat="1" applyFont="1" applyAlignment="1">
      <alignment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8120A-4711-9E49-BE6F-F574FEAAB521}">
  <dimension ref="A1:AI28"/>
  <sheetViews>
    <sheetView topLeftCell="I1" zoomScale="125" zoomScaleNormal="115" workbookViewId="0">
      <selection activeCell="S21" sqref="S21"/>
    </sheetView>
  </sheetViews>
  <sheetFormatPr baseColWidth="10" defaultColWidth="10.83203125" defaultRowHeight="16" x14ac:dyDescent="0.2"/>
  <cols>
    <col min="1" max="1" width="10.5" style="18" bestFit="1" customWidth="1"/>
    <col min="2" max="3" width="4.6640625" style="18" bestFit="1" customWidth="1"/>
    <col min="4" max="4" width="12.1640625" style="18" bestFit="1" customWidth="1"/>
    <col min="5" max="5" width="12.1640625" style="18" customWidth="1"/>
    <col min="6" max="6" width="16" style="16" bestFit="1" customWidth="1"/>
    <col min="7" max="7" width="7.6640625" style="16" bestFit="1" customWidth="1"/>
    <col min="8" max="8" width="10.83203125" style="18" bestFit="1" customWidth="1"/>
    <col min="9" max="9" width="10.1640625" style="18" customWidth="1"/>
    <col min="10" max="10" width="10" style="18" bestFit="1" customWidth="1"/>
    <col min="11" max="12" width="4.6640625" style="18" bestFit="1" customWidth="1"/>
    <col min="13" max="13" width="13.83203125" style="18" bestFit="1" customWidth="1"/>
    <col min="14" max="14" width="12.33203125" style="18" customWidth="1"/>
    <col min="15" max="15" width="8.33203125" style="16" bestFit="1" customWidth="1"/>
    <col min="16" max="16" width="8.1640625" style="16" bestFit="1" customWidth="1"/>
    <col min="17" max="17" width="11.33203125" style="18" bestFit="1" customWidth="1"/>
    <col min="18" max="18" width="11" style="18" customWidth="1"/>
    <col min="19" max="19" width="8.83203125" style="18" bestFit="1" customWidth="1"/>
    <col min="20" max="21" width="4.6640625" style="18" bestFit="1" customWidth="1"/>
    <col min="22" max="22" width="12.1640625" style="18" bestFit="1" customWidth="1"/>
    <col min="23" max="23" width="12.1640625" style="18" customWidth="1"/>
    <col min="24" max="24" width="8.33203125" style="16" bestFit="1" customWidth="1"/>
    <col min="25" max="25" width="8.1640625" style="16" bestFit="1" customWidth="1"/>
    <col min="26" max="26" width="10.83203125" style="18" bestFit="1" customWidth="1"/>
    <col min="27" max="27" width="11" style="18" customWidth="1"/>
    <col min="28" max="28" width="8.33203125" style="18" bestFit="1" customWidth="1"/>
    <col min="29" max="30" width="4.6640625" style="18" bestFit="1" customWidth="1"/>
    <col min="31" max="31" width="13" style="18" bestFit="1" customWidth="1"/>
    <col min="32" max="32" width="12.1640625" style="18" customWidth="1"/>
    <col min="33" max="33" width="8.33203125" style="22" bestFit="1" customWidth="1"/>
    <col min="34" max="34" width="8.1640625" style="22" bestFit="1" customWidth="1"/>
    <col min="35" max="35" width="11.1640625" style="18" bestFit="1" customWidth="1"/>
    <col min="36" max="16384" width="10.83203125" style="19"/>
  </cols>
  <sheetData>
    <row r="1" spans="1:35" x14ac:dyDescent="0.2">
      <c r="A1" s="18" t="s">
        <v>0</v>
      </c>
      <c r="B1" s="18" t="s">
        <v>1</v>
      </c>
      <c r="C1" s="18" t="s">
        <v>2</v>
      </c>
      <c r="D1" s="18" t="s">
        <v>3</v>
      </c>
      <c r="E1" s="18" t="s">
        <v>108</v>
      </c>
      <c r="F1" s="16" t="s">
        <v>4</v>
      </c>
      <c r="G1" s="17" t="s">
        <v>107</v>
      </c>
      <c r="H1" s="18" t="s">
        <v>5</v>
      </c>
      <c r="J1" s="18" t="s">
        <v>6</v>
      </c>
      <c r="K1" s="18" t="s">
        <v>1</v>
      </c>
      <c r="L1" s="18" t="s">
        <v>2</v>
      </c>
      <c r="M1" s="18" t="s">
        <v>3</v>
      </c>
      <c r="N1" s="18" t="s">
        <v>108</v>
      </c>
      <c r="O1" s="16" t="s">
        <v>4</v>
      </c>
      <c r="P1" s="16" t="s">
        <v>107</v>
      </c>
      <c r="Q1" s="18" t="s">
        <v>5</v>
      </c>
      <c r="S1" s="18" t="s">
        <v>7</v>
      </c>
      <c r="T1" s="18" t="s">
        <v>1</v>
      </c>
      <c r="U1" s="18" t="s">
        <v>2</v>
      </c>
      <c r="V1" s="18" t="s">
        <v>3</v>
      </c>
      <c r="W1" s="18" t="s">
        <v>108</v>
      </c>
      <c r="X1" s="16" t="s">
        <v>4</v>
      </c>
      <c r="Y1" s="16" t="s">
        <v>107</v>
      </c>
      <c r="Z1" s="18" t="s">
        <v>5</v>
      </c>
      <c r="AB1" s="18" t="s">
        <v>8</v>
      </c>
      <c r="AC1" s="18" t="s">
        <v>1</v>
      </c>
      <c r="AD1" s="18" t="s">
        <v>2</v>
      </c>
      <c r="AE1" s="18" t="s">
        <v>3</v>
      </c>
      <c r="AF1" s="18" t="s">
        <v>108</v>
      </c>
      <c r="AG1" s="16" t="s">
        <v>4</v>
      </c>
      <c r="AH1" s="16" t="s">
        <v>107</v>
      </c>
      <c r="AI1" s="18" t="s">
        <v>5</v>
      </c>
    </row>
    <row r="2" spans="1:35" x14ac:dyDescent="0.2">
      <c r="A2" s="18" t="s">
        <v>9</v>
      </c>
      <c r="B2" s="18">
        <v>4.05</v>
      </c>
      <c r="C2" s="18">
        <v>8.4629999999999992</v>
      </c>
      <c r="D2" s="18">
        <v>-2180000</v>
      </c>
      <c r="F2" s="22">
        <f>($D$11/D2)^(1/6) * 1.8</f>
        <v>3.2778641036799523</v>
      </c>
      <c r="G2" s="16" t="str">
        <f>IF(F2&lt;=2.5, "strong", IF(F2&lt;3.5, "medium", "weak"))</f>
        <v>medium</v>
      </c>
      <c r="H2" s="18">
        <v>-66304</v>
      </c>
      <c r="J2" s="18" t="s">
        <v>10</v>
      </c>
      <c r="K2" s="18">
        <v>3.6040000000000001</v>
      </c>
      <c r="L2" s="18">
        <v>4.9740000000000002</v>
      </c>
      <c r="M2" s="18">
        <v>-11200000</v>
      </c>
      <c r="O2" s="22">
        <f>($D$11/M2)^(1/6) * 1.8</f>
        <v>2.4953455221877401</v>
      </c>
      <c r="P2" s="16" t="str">
        <f>IF(O2&lt;=2.5, "strong", IF(O2&lt;3.5, "medium", "weak"))</f>
        <v>strong</v>
      </c>
      <c r="Q2" s="18">
        <v>-282121</v>
      </c>
      <c r="S2" s="39" t="s">
        <v>11</v>
      </c>
      <c r="T2" s="40">
        <v>1.823</v>
      </c>
      <c r="U2" s="40">
        <v>3.8410000000000002</v>
      </c>
      <c r="V2" s="40">
        <v>-9590000</v>
      </c>
      <c r="W2" s="36">
        <f>V2+V3</f>
        <v>-19790000</v>
      </c>
      <c r="X2" s="38">
        <f>($D$11/W2)^(1/6) * 1.8</f>
        <v>2.2694784375724271</v>
      </c>
      <c r="Y2" s="37" t="str">
        <f>IF(X2&lt;=2.5, "strong", IF(X2&lt;3.5, "medium", "weak"))</f>
        <v>strong</v>
      </c>
      <c r="Z2" s="40">
        <v>-611078</v>
      </c>
      <c r="AB2" s="24" t="s">
        <v>12</v>
      </c>
      <c r="AC2" s="25">
        <v>1.659</v>
      </c>
      <c r="AD2" s="25">
        <v>4.4290000000000003</v>
      </c>
      <c r="AE2" s="25">
        <v>-27400000</v>
      </c>
      <c r="AF2" s="25"/>
      <c r="AG2" s="21">
        <f>($D$11/AE2)^(1/6) * 1.8</f>
        <v>2.1496871779946787</v>
      </c>
      <c r="AH2" s="16" t="str">
        <f>IF(AG2&lt;=2.5, "strong", IF(AG2&lt;3.5, "medium", "weak"))</f>
        <v>strong</v>
      </c>
      <c r="AI2" s="25">
        <v>-921512</v>
      </c>
    </row>
    <row r="3" spans="1:35" x14ac:dyDescent="0.2">
      <c r="A3" s="18" t="s">
        <v>13</v>
      </c>
      <c r="B3" s="18">
        <v>4.0490000000000004</v>
      </c>
      <c r="C3" s="18">
        <v>8.3539999999999992</v>
      </c>
      <c r="D3" s="18">
        <v>-201000</v>
      </c>
      <c r="F3" s="22">
        <f>($D$11/D3)^(1/6) * 1.8</f>
        <v>4.8767933184433394</v>
      </c>
      <c r="G3" s="16" t="str">
        <f>IF(F3&lt;=2.5, "strong", IF(F3&lt;3.5, "medium", "weak"))</f>
        <v>weak</v>
      </c>
      <c r="H3" s="18">
        <v>-6713</v>
      </c>
      <c r="J3" s="18" t="s">
        <v>14</v>
      </c>
      <c r="K3" s="18">
        <v>4.2869999999999999</v>
      </c>
      <c r="L3" s="18">
        <v>4.9720000000000004</v>
      </c>
      <c r="M3" s="18">
        <v>-26400000</v>
      </c>
      <c r="O3" s="22">
        <f>($D$11/M3)^(1/6) * 1.8</f>
        <v>2.1630490714904478</v>
      </c>
      <c r="P3" s="16" t="str">
        <f>IF(O3&lt;=2.5, "strong", IF(O3&lt;3.5, "medium", "weak"))</f>
        <v>strong</v>
      </c>
      <c r="Q3" s="18">
        <v>-527955</v>
      </c>
      <c r="S3" s="40" t="s">
        <v>11</v>
      </c>
      <c r="T3" s="40">
        <v>1.823</v>
      </c>
      <c r="U3" s="40">
        <v>3.859</v>
      </c>
      <c r="V3" s="40">
        <v>-10200000</v>
      </c>
      <c r="W3" s="40"/>
      <c r="X3" s="38"/>
      <c r="Y3" s="37"/>
      <c r="Z3" s="40">
        <v>-671114</v>
      </c>
      <c r="AB3" s="25" t="s">
        <v>15</v>
      </c>
      <c r="AC3" s="25">
        <v>3.6030000000000002</v>
      </c>
      <c r="AD3" s="25">
        <v>4.2789999999999999</v>
      </c>
      <c r="AE3" s="25">
        <v>-8180000</v>
      </c>
      <c r="AF3" s="18">
        <f>AE3+AE4</f>
        <v>-18780000</v>
      </c>
      <c r="AG3" s="22">
        <f>($D$11/AF3)^(1/6) * 1.8</f>
        <v>2.2893793536273934</v>
      </c>
      <c r="AH3" s="16" t="str">
        <f>IF(AG3&lt;=2.5, "strong", IF(AG3&lt;3.5, "medium", "weak"))</f>
        <v>strong</v>
      </c>
      <c r="AI3" s="25">
        <v>-292900</v>
      </c>
    </row>
    <row r="4" spans="1:35" x14ac:dyDescent="0.2">
      <c r="K4" s="16"/>
      <c r="S4" s="20" t="s">
        <v>16</v>
      </c>
      <c r="T4" s="20">
        <v>3.851</v>
      </c>
      <c r="U4" s="20">
        <v>4.9749999999999996</v>
      </c>
      <c r="V4" s="20">
        <v>-6050000</v>
      </c>
      <c r="W4" s="20"/>
      <c r="X4" s="21">
        <f>($D$11/V4)^(1/6) * 1.8</f>
        <v>2.7650806143743174</v>
      </c>
      <c r="Y4" s="16" t="str">
        <f>IF(X4&lt;=2.5, "strong", IF(X4&lt;3.5, "medium", "weak"))</f>
        <v>medium</v>
      </c>
      <c r="Z4" s="20">
        <v>-158018</v>
      </c>
      <c r="AB4" s="25" t="s">
        <v>15</v>
      </c>
      <c r="AC4" s="25">
        <v>3.6019999999999999</v>
      </c>
      <c r="AD4" s="25">
        <v>4.2969999999999997</v>
      </c>
      <c r="AE4" s="25">
        <v>-10600000</v>
      </c>
      <c r="AF4" s="25"/>
      <c r="AH4" s="16"/>
      <c r="AI4" s="25">
        <v>-372640</v>
      </c>
    </row>
    <row r="5" spans="1:35" x14ac:dyDescent="0.2">
      <c r="A5" s="18" t="s">
        <v>17</v>
      </c>
      <c r="B5" s="18">
        <v>4.1470000000000002</v>
      </c>
      <c r="C5" s="18">
        <v>8.3539999999999992</v>
      </c>
      <c r="D5" s="18">
        <v>-298000</v>
      </c>
      <c r="F5" s="22">
        <f>($D$11/D5)^(1/6) * 1.8</f>
        <v>4.566999694264144</v>
      </c>
      <c r="G5" s="16" t="str">
        <f>IF(F5&lt;=2.5, "strong", IF(F5&lt;3.5, "medium", "weak"))</f>
        <v>weak</v>
      </c>
      <c r="H5" s="18">
        <v>-9291</v>
      </c>
      <c r="J5" s="18" t="s">
        <v>18</v>
      </c>
      <c r="K5" s="18">
        <v>4.149</v>
      </c>
      <c r="L5" s="18">
        <v>4.5030000000000001</v>
      </c>
      <c r="M5" s="18">
        <v>-20900000</v>
      </c>
      <c r="N5" s="18">
        <f>M5+M6</f>
        <v>-42900000</v>
      </c>
      <c r="O5" s="22">
        <f>($D$11/N5)^(1/6) * 1.8</f>
        <v>1.9949138454871371</v>
      </c>
      <c r="P5" s="16" t="str">
        <f>IF(O5&lt;=2.5, "strong", IF(O5&lt;3.5, "medium", "weak"))</f>
        <v>strong</v>
      </c>
      <c r="Q5" s="18">
        <v>-739750</v>
      </c>
      <c r="AG5" s="16"/>
      <c r="AH5" s="16"/>
    </row>
    <row r="6" spans="1:35" x14ac:dyDescent="0.2">
      <c r="J6" s="18" t="s">
        <v>18</v>
      </c>
      <c r="K6" s="18">
        <v>4.1470000000000002</v>
      </c>
      <c r="L6" s="18">
        <v>4.4859999999999998</v>
      </c>
      <c r="M6" s="18">
        <v>-22000000</v>
      </c>
      <c r="O6" s="22"/>
      <c r="Q6" s="18">
        <v>-797755</v>
      </c>
      <c r="S6" s="39" t="s">
        <v>19</v>
      </c>
      <c r="T6" s="40">
        <v>1.6060000000000001</v>
      </c>
      <c r="U6" s="40">
        <v>3.5649999999999999</v>
      </c>
      <c r="V6" s="40">
        <v>-8710000</v>
      </c>
      <c r="W6" s="36">
        <f>V6+V7</f>
        <v>-18190000</v>
      </c>
      <c r="X6" s="38">
        <f>($D$11/W6)^(1/6) * 1.8</f>
        <v>2.3015914913886397</v>
      </c>
      <c r="Y6" s="37" t="str">
        <f>IF(X6&lt;=2.5, "strong", IF(X6&lt;3.5, "medium", "weak"))</f>
        <v>strong</v>
      </c>
      <c r="Z6" s="40">
        <v>-531005</v>
      </c>
      <c r="AB6" s="24" t="s">
        <v>20</v>
      </c>
      <c r="AC6" s="25">
        <v>1.823</v>
      </c>
      <c r="AD6" s="25">
        <v>4.9729999999999999</v>
      </c>
      <c r="AE6" s="25">
        <v>-26700000</v>
      </c>
      <c r="AF6" s="25"/>
      <c r="AG6" s="21">
        <f>($D$11/AE6)^(1/6) * 1.8</f>
        <v>2.1589793228057492</v>
      </c>
      <c r="AH6" s="16" t="str">
        <f>IF(AG6&lt;=2.5, "strong", IF(AG6&lt;3.5, "medium", "weak"))</f>
        <v>strong</v>
      </c>
      <c r="AI6" s="25">
        <v>-891027</v>
      </c>
    </row>
    <row r="7" spans="1:35" x14ac:dyDescent="0.2">
      <c r="S7" s="40" t="s">
        <v>19</v>
      </c>
      <c r="T7" s="40">
        <v>1.607</v>
      </c>
      <c r="U7" s="40">
        <v>3.585</v>
      </c>
      <c r="V7" s="40">
        <v>-9480000</v>
      </c>
      <c r="W7" s="40"/>
      <c r="X7" s="38"/>
      <c r="Y7" s="37"/>
      <c r="Z7" s="40">
        <v>-552654</v>
      </c>
      <c r="AB7" s="24" t="s">
        <v>21</v>
      </c>
      <c r="AC7" s="25">
        <v>3.8519999999999999</v>
      </c>
      <c r="AD7" s="25">
        <v>4.4850000000000003</v>
      </c>
      <c r="AE7" s="25">
        <v>-39300000</v>
      </c>
      <c r="AF7" s="18">
        <f>AE7+AE8</f>
        <v>-84600000</v>
      </c>
      <c r="AG7" s="22">
        <f>($D$11/AF7)^(1/6) * 1.8</f>
        <v>1.7814431437642126</v>
      </c>
      <c r="AH7" s="16" t="str">
        <f>IF(AG7&lt;=2.5, "strong", IF(AG7&lt;3.5, "medium", "weak"))</f>
        <v>strong</v>
      </c>
      <c r="AI7" s="25">
        <v>-1665751</v>
      </c>
    </row>
    <row r="8" spans="1:35" x14ac:dyDescent="0.2">
      <c r="J8" s="18" t="s">
        <v>22</v>
      </c>
      <c r="K8" s="18">
        <v>2.8109999999999999</v>
      </c>
      <c r="L8" s="18">
        <v>3.5649999999999999</v>
      </c>
      <c r="M8" s="18">
        <v>-14300000</v>
      </c>
      <c r="N8" s="18">
        <f>M8+M9</f>
        <v>-29700000</v>
      </c>
      <c r="O8" s="22">
        <f>($D$11/N8)^(1/6) * 1.8</f>
        <v>2.1210013828108187</v>
      </c>
      <c r="P8" s="16" t="str">
        <f>IF(O8&lt;=2.5, "strong", IF(O8&lt;3.5, "medium", "weak"))</f>
        <v>strong</v>
      </c>
      <c r="Q8" s="18">
        <v>-492476</v>
      </c>
      <c r="S8" s="20" t="s">
        <v>23</v>
      </c>
      <c r="T8" s="20">
        <v>3.5750000000000002</v>
      </c>
      <c r="U8" s="20">
        <v>6.0910000000000002</v>
      </c>
      <c r="V8" s="20">
        <v>-2110000</v>
      </c>
      <c r="W8" s="20"/>
      <c r="X8" s="21">
        <f>($D$11/V8)^(1/6) * 1.8</f>
        <v>3.2957425876739883</v>
      </c>
      <c r="Y8" s="16" t="str">
        <f>IF(X8&lt;=2.5, "strong", IF(X8&lt;3.5, "medium", "weak"))</f>
        <v>medium</v>
      </c>
      <c r="Z8" s="20">
        <v>-49513</v>
      </c>
      <c r="AB8" s="25" t="s">
        <v>21</v>
      </c>
      <c r="AC8" s="25">
        <v>3.8490000000000002</v>
      </c>
      <c r="AD8" s="25">
        <v>4.5030000000000001</v>
      </c>
      <c r="AE8" s="25">
        <v>-45300000</v>
      </c>
      <c r="AF8" s="25"/>
      <c r="AH8" s="16"/>
      <c r="AI8" s="25">
        <v>-1800185</v>
      </c>
    </row>
    <row r="9" spans="1:35" x14ac:dyDescent="0.2">
      <c r="J9" s="18" t="s">
        <v>22</v>
      </c>
      <c r="K9" s="18">
        <v>2.8119999999999998</v>
      </c>
      <c r="L9" s="18">
        <v>3.585</v>
      </c>
      <c r="M9" s="18">
        <v>-15400000</v>
      </c>
      <c r="O9" s="22"/>
      <c r="Q9" s="18">
        <v>-521189</v>
      </c>
      <c r="AG9" s="16"/>
      <c r="AH9" s="16"/>
    </row>
    <row r="10" spans="1:35" x14ac:dyDescent="0.2">
      <c r="D10" s="26" t="s">
        <v>24</v>
      </c>
      <c r="E10" s="26"/>
      <c r="S10" s="39" t="s">
        <v>25</v>
      </c>
      <c r="T10" s="40">
        <v>1.661</v>
      </c>
      <c r="U10" s="40">
        <v>3.1320000000000001</v>
      </c>
      <c r="V10" s="40">
        <v>-11000000</v>
      </c>
      <c r="W10" s="36">
        <f>V10+V11</f>
        <v>-22100000</v>
      </c>
      <c r="X10" s="38">
        <f>($D$11/W10)^(1/6) * 1.8</f>
        <v>2.2281015508999782</v>
      </c>
      <c r="Y10" s="37" t="str">
        <f>IF(X10&lt;=2.5, "strong", IF(X10&lt;3.5, "medium", "weak"))</f>
        <v>strong</v>
      </c>
      <c r="Z10" s="40">
        <v>-671295</v>
      </c>
      <c r="AB10" s="24" t="s">
        <v>26</v>
      </c>
      <c r="AC10" s="25">
        <v>1.6060000000000001</v>
      </c>
      <c r="AD10" s="25">
        <v>6.0910000000000002</v>
      </c>
      <c r="AE10" s="25">
        <v>-25400000</v>
      </c>
      <c r="AF10" s="25"/>
      <c r="AG10" s="21">
        <f>($D$11/AE10)^(1/6) * 1.8</f>
        <v>2.1770149282967868</v>
      </c>
      <c r="AH10" s="16" t="str">
        <f>IF(AG10&lt;=2.5, "strong", IF(AG10&lt;3.5, "medium", "weak"))</f>
        <v>strong</v>
      </c>
      <c r="AI10" s="25">
        <v>-978109</v>
      </c>
    </row>
    <row r="11" spans="1:35" x14ac:dyDescent="0.2">
      <c r="D11" s="25">
        <f>SUM(AE27:AE28)</f>
        <v>-79500000</v>
      </c>
      <c r="E11" s="25"/>
      <c r="J11" s="36" t="s">
        <v>109</v>
      </c>
      <c r="K11" s="36">
        <v>1.6619999999999999</v>
      </c>
      <c r="L11" s="36">
        <v>2.8</v>
      </c>
      <c r="M11" s="36">
        <v>-2410000</v>
      </c>
      <c r="N11" s="36">
        <f>M11+M12</f>
        <v>-4930000</v>
      </c>
      <c r="O11" s="38">
        <f>($D$11/N11)^(1/6) * 1.8</f>
        <v>2.8610528043480916</v>
      </c>
      <c r="P11" s="37" t="str">
        <f>IF(O11&lt;=2.5, "strong", IF(O11&lt;3.5, "medium", "weak"))</f>
        <v>medium</v>
      </c>
      <c r="Q11" s="36">
        <v>-128116</v>
      </c>
      <c r="S11" s="40" t="s">
        <v>25</v>
      </c>
      <c r="T11" s="40">
        <v>1.6619999999999999</v>
      </c>
      <c r="U11" s="40">
        <v>3.15</v>
      </c>
      <c r="V11" s="40">
        <v>-11100000</v>
      </c>
      <c r="W11" s="40"/>
      <c r="X11" s="38"/>
      <c r="Y11" s="37"/>
      <c r="Z11" s="40">
        <v>-757292</v>
      </c>
      <c r="AB11" s="25" t="s">
        <v>28</v>
      </c>
      <c r="AC11" s="25">
        <v>3.5760000000000001</v>
      </c>
      <c r="AD11" s="25">
        <v>4.1369999999999996</v>
      </c>
      <c r="AE11" s="25">
        <v>-38700000</v>
      </c>
      <c r="AF11" s="18">
        <f>AE11+AE12</f>
        <v>-84300000</v>
      </c>
      <c r="AG11" s="22">
        <f>($D$11/AF11)^(1/6) * 1.8</f>
        <v>1.7824981896426151</v>
      </c>
      <c r="AH11" s="16" t="str">
        <f>IF(AG11&lt;=2.5, "strong", IF(AG11&lt;3.5, "medium", "weak"))</f>
        <v>strong</v>
      </c>
      <c r="AI11" s="25">
        <v>-1426734</v>
      </c>
    </row>
    <row r="12" spans="1:35" x14ac:dyDescent="0.2">
      <c r="J12" s="36" t="s">
        <v>109</v>
      </c>
      <c r="K12" s="36">
        <v>1.6619999999999999</v>
      </c>
      <c r="L12" s="36">
        <v>2.8210000000000002</v>
      </c>
      <c r="M12" s="36">
        <v>-2520000</v>
      </c>
      <c r="N12" s="36"/>
      <c r="O12" s="38"/>
      <c r="P12" s="37"/>
      <c r="Q12" s="36">
        <v>-119832</v>
      </c>
      <c r="AB12" s="25" t="s">
        <v>28</v>
      </c>
      <c r="AC12" s="25">
        <v>3.5739999999999998</v>
      </c>
      <c r="AD12" s="25">
        <v>4.157</v>
      </c>
      <c r="AE12" s="25">
        <v>-45600000</v>
      </c>
      <c r="AF12" s="25"/>
      <c r="AH12" s="16"/>
      <c r="AI12" s="25">
        <v>-1732917</v>
      </c>
    </row>
    <row r="13" spans="1:35" x14ac:dyDescent="0.2">
      <c r="J13" s="18" t="s">
        <v>27</v>
      </c>
      <c r="K13" s="18">
        <v>2.8119999999999998</v>
      </c>
      <c r="L13" s="18">
        <v>4.51</v>
      </c>
      <c r="M13" s="18">
        <v>-34100000</v>
      </c>
      <c r="O13" s="22">
        <f>($D$11/M13)^(1/6) * 1.8</f>
        <v>2.0727231437934988</v>
      </c>
      <c r="P13" s="16" t="str">
        <f>IF(O13&lt;=2.5, "strong", IF(O13&lt;3.5, "medium", "weak"))</f>
        <v>strong</v>
      </c>
      <c r="Q13" s="18">
        <v>-823592</v>
      </c>
      <c r="S13" s="40" t="s">
        <v>30</v>
      </c>
      <c r="T13" s="40">
        <v>1.5409999999999999</v>
      </c>
      <c r="U13" s="40">
        <v>3.4449999999999998</v>
      </c>
      <c r="V13" s="40">
        <v>-7060000</v>
      </c>
      <c r="W13" s="36">
        <f>V13+V14</f>
        <v>-14870000</v>
      </c>
      <c r="X13" s="38">
        <f>($D$11/W13)^(1/6) * 1.8</f>
        <v>2.3802095779455477</v>
      </c>
      <c r="Y13" s="37" t="s">
        <v>33</v>
      </c>
      <c r="Z13" s="40">
        <v>-693863</v>
      </c>
      <c r="AG13" s="16"/>
      <c r="AH13" s="16"/>
    </row>
    <row r="14" spans="1:35" x14ac:dyDescent="0.2">
      <c r="F14" s="17" t="s">
        <v>110</v>
      </c>
      <c r="G14" s="17"/>
      <c r="H14" s="18" t="s">
        <v>104</v>
      </c>
      <c r="J14" s="18" t="s">
        <v>29</v>
      </c>
      <c r="K14" s="18">
        <v>3.22</v>
      </c>
      <c r="L14" s="18">
        <v>4.51</v>
      </c>
      <c r="M14" s="18">
        <v>-31100000</v>
      </c>
      <c r="O14" s="22">
        <f>($D$11/M14)^(1/6) * 1.8</f>
        <v>2.104781227872099</v>
      </c>
      <c r="P14" s="16" t="str">
        <f>IF(O14&lt;=2.5, "strong", IF(O14&lt;3.5, "medium", "weak"))</f>
        <v>strong</v>
      </c>
      <c r="Q14" s="18">
        <v>-732714</v>
      </c>
      <c r="S14" s="40" t="s">
        <v>30</v>
      </c>
      <c r="T14" s="40">
        <v>1.542</v>
      </c>
      <c r="U14" s="40">
        <v>3.4249999999999998</v>
      </c>
      <c r="V14" s="40">
        <v>-7810000</v>
      </c>
      <c r="W14" s="40"/>
      <c r="X14" s="38"/>
      <c r="Y14" s="37"/>
      <c r="Z14" s="40">
        <v>-506009</v>
      </c>
      <c r="AB14" s="24" t="s">
        <v>32</v>
      </c>
      <c r="AC14" s="25">
        <v>1.1060000000000001</v>
      </c>
      <c r="AD14" s="25">
        <v>5.5880000000000001</v>
      </c>
      <c r="AE14" s="25">
        <v>-25800000</v>
      </c>
      <c r="AF14" s="25"/>
      <c r="AG14" s="21">
        <f>($D$11/AE14)^(1/6) * 1.8</f>
        <v>2.1713528790509917</v>
      </c>
      <c r="AH14" s="16" t="str">
        <f>IF(AG14&lt;=2.5, "strong", IF(AG14&lt;3.5, "medium", "weak"))</f>
        <v>strong</v>
      </c>
      <c r="AI14" s="25">
        <v>-844347</v>
      </c>
    </row>
    <row r="15" spans="1:35" x14ac:dyDescent="0.2">
      <c r="D15" s="27" t="s">
        <v>33</v>
      </c>
      <c r="E15" s="27"/>
      <c r="F15" s="16" t="s">
        <v>112</v>
      </c>
      <c r="H15" s="18" t="s">
        <v>111</v>
      </c>
      <c r="S15" s="20" t="s">
        <v>35</v>
      </c>
      <c r="T15" s="20">
        <v>3.4460000000000002</v>
      </c>
      <c r="U15" s="20">
        <v>6.1310000000000002</v>
      </c>
      <c r="V15" s="20">
        <v>-5100000</v>
      </c>
      <c r="W15" s="20"/>
      <c r="X15" s="21">
        <f>($D$11/V15)^(1/6) * 1.8</f>
        <v>2.8449327003641054</v>
      </c>
      <c r="Y15" s="16" t="str">
        <f>IF(X15&lt;=2.5,"strong",IF(X15&lt;3.5,"medium","weak"))</f>
        <v>medium</v>
      </c>
      <c r="Z15" s="20">
        <v>-78808</v>
      </c>
      <c r="AB15" s="25" t="s">
        <v>36</v>
      </c>
      <c r="AC15" s="25">
        <v>2.8109999999999999</v>
      </c>
      <c r="AD15" s="25">
        <v>3.21</v>
      </c>
      <c r="AE15" s="25">
        <v>-35500000</v>
      </c>
      <c r="AF15" s="18">
        <f>AE15+AE16</f>
        <v>-76900000</v>
      </c>
      <c r="AG15" s="22">
        <f>($D$11/AF15)^(1/6) * 1.8</f>
        <v>1.8100030356425361</v>
      </c>
      <c r="AH15" s="16" t="str">
        <f>IF(AG15&lt;=2.5, "strong", IF(AG15&lt;3.5, "medium", "weak"))</f>
        <v>strong</v>
      </c>
      <c r="AI15" s="25">
        <v>-1208363</v>
      </c>
    </row>
    <row r="16" spans="1:35" x14ac:dyDescent="0.2">
      <c r="D16" s="28" t="s">
        <v>37</v>
      </c>
      <c r="E16" s="28"/>
      <c r="F16" s="22" t="s">
        <v>113</v>
      </c>
      <c r="G16" s="17"/>
      <c r="H16" s="18" t="s">
        <v>105</v>
      </c>
      <c r="J16" s="18" t="s">
        <v>31</v>
      </c>
      <c r="K16" s="18">
        <v>3.2610000000000001</v>
      </c>
      <c r="L16" s="18">
        <v>4.9020000000000001</v>
      </c>
      <c r="M16" s="18">
        <v>-37800000</v>
      </c>
      <c r="O16" s="22">
        <f>($D$11/M16)^(1/6) * 1.8</f>
        <v>2.0374410870996007</v>
      </c>
      <c r="P16" s="16" t="str">
        <f>IF(O16&lt;=2.5, "strong", IF(O16&lt;3.5, "medium", "weak"))</f>
        <v>strong</v>
      </c>
      <c r="Q16" s="18">
        <v>-1002882</v>
      </c>
      <c r="S16" s="20" t="s">
        <v>38</v>
      </c>
      <c r="T16" s="20">
        <v>3.58</v>
      </c>
      <c r="U16" s="20">
        <v>8.4629999999999992</v>
      </c>
      <c r="V16" s="20">
        <v>-482000</v>
      </c>
      <c r="W16" s="20"/>
      <c r="X16" s="21">
        <f>($D$11/V16)^(1/6) * 1.8</f>
        <v>4.2152744245983893</v>
      </c>
      <c r="Y16" s="16" t="str">
        <f>IF(X16&lt;=2.5, "strong", IF(X16&lt;3.5, "medium", "weak"))</f>
        <v>weak</v>
      </c>
      <c r="Z16" s="20">
        <v>-11231</v>
      </c>
      <c r="AB16" s="25" t="s">
        <v>36</v>
      </c>
      <c r="AC16" s="25">
        <v>2.8090000000000002</v>
      </c>
      <c r="AD16" s="25">
        <v>3.23</v>
      </c>
      <c r="AE16" s="25">
        <v>-41400000</v>
      </c>
      <c r="AF16" s="25"/>
      <c r="AH16" s="16"/>
      <c r="AI16" s="25">
        <v>-1468864</v>
      </c>
    </row>
    <row r="17" spans="4:35" x14ac:dyDescent="0.2">
      <c r="D17" s="29" t="s">
        <v>39</v>
      </c>
      <c r="E17" s="29"/>
      <c r="F17" s="22" t="s">
        <v>114</v>
      </c>
      <c r="G17" s="17"/>
      <c r="H17" s="18" t="s">
        <v>106</v>
      </c>
      <c r="J17" s="18" t="s">
        <v>34</v>
      </c>
      <c r="K17" s="18">
        <v>4.3609999999999998</v>
      </c>
      <c r="L17" s="18">
        <v>4.9020000000000001</v>
      </c>
      <c r="M17" s="18">
        <v>-34600000</v>
      </c>
      <c r="O17" s="22">
        <f>($D$11/M17)^(1/6) * 1.8</f>
        <v>2.0677007093803654</v>
      </c>
      <c r="P17" s="16" t="str">
        <f>IF(O17&lt;=2.5, "strong", IF(O17&lt;3.5, "medium", "weak"))</f>
        <v>strong</v>
      </c>
      <c r="Q17" s="18">
        <v>-891243</v>
      </c>
      <c r="S17" s="20" t="s">
        <v>40</v>
      </c>
      <c r="T17" s="20">
        <v>3.581</v>
      </c>
      <c r="U17" s="20">
        <v>8.3550000000000004</v>
      </c>
      <c r="V17" s="20">
        <v>-301000</v>
      </c>
      <c r="W17" s="20"/>
      <c r="X17" s="21">
        <f>($D$11/V17)^(1/6) * 1.8</f>
        <v>4.5593816178860802</v>
      </c>
      <c r="Y17" s="16" t="str">
        <f>IF(X17&lt;=2.5, "strong", IF(X17&lt;3.5, "medium", "weak"))</f>
        <v>weak</v>
      </c>
      <c r="Z17" s="20">
        <v>-6328</v>
      </c>
      <c r="AG17" s="16"/>
      <c r="AH17" s="16"/>
    </row>
    <row r="18" spans="4:35" x14ac:dyDescent="0.2">
      <c r="J18" s="36" t="s">
        <v>41</v>
      </c>
      <c r="K18" s="36">
        <v>1.663</v>
      </c>
      <c r="L18" s="36">
        <v>3.2509999999999999</v>
      </c>
      <c r="M18" s="36">
        <v>-11200000</v>
      </c>
      <c r="N18" s="36">
        <f>M18+M19</f>
        <v>-23800000</v>
      </c>
      <c r="O18" s="38">
        <f>($D$11/N18)^(1/6) * 1.8</f>
        <v>2.2007507930925998</v>
      </c>
      <c r="P18" s="37" t="str">
        <f>IF(O18&lt;=2.5, "strong", IF(O18&lt;3.5, "medium", "weak"))</f>
        <v>strong</v>
      </c>
      <c r="Q18" s="36">
        <v>-747702</v>
      </c>
      <c r="AB18" s="24" t="s">
        <v>42</v>
      </c>
      <c r="AC18" s="25">
        <v>1.663</v>
      </c>
      <c r="AD18" s="25">
        <v>4.51</v>
      </c>
      <c r="AE18" s="25">
        <v>-33800000</v>
      </c>
      <c r="AF18" s="25"/>
      <c r="AG18" s="21">
        <f>($D$11/AE18)^(1/6) * 1.8</f>
        <v>2.0757780240679264</v>
      </c>
      <c r="AH18" s="16" t="str">
        <f>IF(AG18&lt;=2.5, "strong", IF(AG18&lt;3.5, "medium", "weak"))</f>
        <v>strong</v>
      </c>
      <c r="AI18" s="25">
        <v>-1041901</v>
      </c>
    </row>
    <row r="19" spans="4:35" x14ac:dyDescent="0.2">
      <c r="J19" s="36" t="s">
        <v>41</v>
      </c>
      <c r="K19" s="36">
        <v>1.663</v>
      </c>
      <c r="L19" s="36">
        <v>3.27</v>
      </c>
      <c r="M19" s="36">
        <v>-12600000</v>
      </c>
      <c r="N19" s="36"/>
      <c r="O19" s="38"/>
      <c r="P19" s="37"/>
      <c r="Q19" s="36">
        <v>-693329</v>
      </c>
      <c r="AB19" s="25" t="s">
        <v>43</v>
      </c>
      <c r="AC19" s="25">
        <v>3.26</v>
      </c>
      <c r="AD19" s="25">
        <v>4.37</v>
      </c>
      <c r="AE19" s="25">
        <v>-45700000</v>
      </c>
      <c r="AF19" s="18">
        <f>AE19+AE20</f>
        <v>-92000000</v>
      </c>
      <c r="AG19" s="22">
        <f>($D$11/AF19)^(1/6) * 1.8</f>
        <v>1.7567193647380637</v>
      </c>
      <c r="AH19" s="16" t="str">
        <f>IF(AG19&lt;=2.5, "strong", IF(AG19&lt;3.5, "medium", "weak"))</f>
        <v>strong</v>
      </c>
      <c r="AI19" s="25">
        <v>-1806994</v>
      </c>
    </row>
    <row r="20" spans="4:35" x14ac:dyDescent="0.2">
      <c r="AB20" s="25" t="s">
        <v>43</v>
      </c>
      <c r="AC20" s="25">
        <v>3.2610000000000001</v>
      </c>
      <c r="AD20" s="25">
        <v>4.351</v>
      </c>
      <c r="AE20" s="25">
        <v>-46300000</v>
      </c>
      <c r="AF20" s="25"/>
      <c r="AH20" s="16"/>
      <c r="AI20" s="25">
        <v>-1910524</v>
      </c>
    </row>
    <row r="21" spans="4:35" x14ac:dyDescent="0.2">
      <c r="J21" s="18" t="s">
        <v>44</v>
      </c>
      <c r="K21" s="18">
        <v>3.1419999999999999</v>
      </c>
      <c r="L21" s="18">
        <v>3.5939999999999999</v>
      </c>
      <c r="M21" s="18">
        <v>-6240000</v>
      </c>
      <c r="N21" s="18">
        <f>M21+M22</f>
        <v>-12960000</v>
      </c>
      <c r="O21" s="22">
        <f>($D$11/N21)^(1/6) * 1.8</f>
        <v>2.4353769594407564</v>
      </c>
      <c r="P21" s="16" t="str">
        <f>IF(O21&lt;=2.5, "strong", IF(O21&lt;3.5, "medium", "weak"))</f>
        <v>strong</v>
      </c>
      <c r="Q21" s="18">
        <v>-264637</v>
      </c>
      <c r="AG21" s="16"/>
      <c r="AH21" s="16"/>
    </row>
    <row r="22" spans="4:35" x14ac:dyDescent="0.2">
      <c r="J22" s="18" t="s">
        <v>44</v>
      </c>
      <c r="K22" s="18">
        <v>3.1419999999999999</v>
      </c>
      <c r="L22" s="18">
        <v>3.5739999999999998</v>
      </c>
      <c r="M22" s="18">
        <v>-6720000</v>
      </c>
      <c r="O22" s="22"/>
      <c r="Q22" s="18">
        <v>-294663</v>
      </c>
      <c r="AB22" s="24" t="s">
        <v>45</v>
      </c>
      <c r="AC22" s="25">
        <v>1.661</v>
      </c>
      <c r="AD22" s="25">
        <v>4.9020000000000001</v>
      </c>
      <c r="AE22" s="25">
        <v>-30700000</v>
      </c>
      <c r="AF22" s="25"/>
      <c r="AG22" s="21">
        <f>($D$11/AE22)^(1/6) * 1.8</f>
        <v>2.1093272534335821</v>
      </c>
      <c r="AH22" s="16" t="str">
        <f>IF(AG22&lt;=2.5, "strong", IF(AG22&lt;3.5, "medium", "weak"))</f>
        <v>strong</v>
      </c>
      <c r="AI22" s="25">
        <v>-1130033</v>
      </c>
    </row>
    <row r="23" spans="4:35" x14ac:dyDescent="0.2">
      <c r="J23" s="18" t="s">
        <v>46</v>
      </c>
      <c r="K23" s="18">
        <v>3.5830000000000002</v>
      </c>
      <c r="L23" s="18">
        <v>4.0579999999999998</v>
      </c>
      <c r="M23" s="18">
        <v>-15800000</v>
      </c>
      <c r="N23" s="18">
        <f>M23+M24</f>
        <v>-33000000</v>
      </c>
      <c r="O23" s="22">
        <f>($D$11/N23)^(1/6) * 1.8</f>
        <v>2.084081522902054</v>
      </c>
      <c r="P23" s="16" t="str">
        <f>IF(O23&lt;=2.5, "strong", IF(O23&lt;3.5, "medium", "weak"))</f>
        <v>strong</v>
      </c>
      <c r="Q23" s="18">
        <v>-539185</v>
      </c>
      <c r="AB23" s="25" t="s">
        <v>47</v>
      </c>
      <c r="AC23" s="25">
        <v>3.1419999999999999</v>
      </c>
      <c r="AD23" s="25">
        <v>4.04</v>
      </c>
      <c r="AE23" s="25">
        <v>-48800000</v>
      </c>
      <c r="AF23" s="18">
        <f>AE23+AE24</f>
        <v>-103300000</v>
      </c>
      <c r="AG23" s="22">
        <f>($D$11/AF23)^(1/6) * 1.8</f>
        <v>1.7231257519063961</v>
      </c>
      <c r="AH23" s="16" t="str">
        <f>IF(AG23&lt;=2.5, "strong", IF(AG23&lt;3.5, "medium", "weak"))</f>
        <v>strong</v>
      </c>
      <c r="AI23" s="25">
        <v>-2305149</v>
      </c>
    </row>
    <row r="24" spans="4:35" x14ac:dyDescent="0.2">
      <c r="J24" s="18" t="s">
        <v>46</v>
      </c>
      <c r="K24" s="18">
        <v>3.5830000000000002</v>
      </c>
      <c r="L24" s="18">
        <v>4.0410000000000004</v>
      </c>
      <c r="M24" s="18">
        <v>-17200000</v>
      </c>
      <c r="O24" s="22"/>
      <c r="Q24" s="18">
        <v>-588743</v>
      </c>
      <c r="AB24" s="25" t="s">
        <v>47</v>
      </c>
      <c r="AC24" s="25">
        <v>3.14</v>
      </c>
      <c r="AD24" s="25">
        <v>4.0579999999999998</v>
      </c>
      <c r="AE24" s="25">
        <v>-54500000</v>
      </c>
      <c r="AF24" s="25"/>
      <c r="AH24" s="16"/>
      <c r="AI24" s="25">
        <v>-2363512</v>
      </c>
    </row>
    <row r="25" spans="4:35" x14ac:dyDescent="0.2">
      <c r="AG25" s="16"/>
      <c r="AH25" s="16"/>
    </row>
    <row r="26" spans="4:35" x14ac:dyDescent="0.2">
      <c r="AB26" s="25" t="s">
        <v>48</v>
      </c>
      <c r="AC26" s="25">
        <v>1.56</v>
      </c>
      <c r="AD26" s="25">
        <v>6.141</v>
      </c>
      <c r="AE26" s="25">
        <v>-25500000</v>
      </c>
      <c r="AF26" s="25"/>
      <c r="AG26" s="21">
        <f>($D$11/AE26)^(1/6) * 1.8</f>
        <v>2.1755897121589456</v>
      </c>
      <c r="AH26" s="16" t="str">
        <f>IF(AG26&lt;=2.5, "strong", IF(AG26&lt;3.5, "medium", "weak"))</f>
        <v>strong</v>
      </c>
      <c r="AI26" s="25">
        <v>-1099873</v>
      </c>
    </row>
    <row r="27" spans="4:35" x14ac:dyDescent="0.2">
      <c r="AB27" s="24" t="s">
        <v>49</v>
      </c>
      <c r="AC27" s="25">
        <v>3.427</v>
      </c>
      <c r="AD27" s="25">
        <v>3.573</v>
      </c>
      <c r="AE27" s="31">
        <v>-21200000</v>
      </c>
      <c r="AF27" s="18">
        <f>AE27+AE28</f>
        <v>-79500000</v>
      </c>
      <c r="AG27" s="22">
        <f>($D$11/AF27)^(1/6) * 1.8</f>
        <v>1.8</v>
      </c>
      <c r="AH27" s="16" t="str">
        <f>IF(AG27&lt;=2.5, "strong", IF(AG27&lt;3.5, "medium", "weak"))</f>
        <v>strong</v>
      </c>
      <c r="AI27" s="25">
        <v>-1485777</v>
      </c>
    </row>
    <row r="28" spans="4:35" x14ac:dyDescent="0.2">
      <c r="AB28" s="25" t="s">
        <v>49</v>
      </c>
      <c r="AC28" s="25">
        <v>3.43</v>
      </c>
      <c r="AD28" s="25">
        <v>3.5939999999999999</v>
      </c>
      <c r="AE28" s="31">
        <v>-58300000</v>
      </c>
      <c r="AF28" s="25"/>
      <c r="AH28" s="16"/>
      <c r="AI28" s="25">
        <v>-3011687</v>
      </c>
    </row>
  </sheetData>
  <phoneticPr fontId="12" type="noConversion"/>
  <conditionalFormatting sqref="F2:F6 O2:O24">
    <cfRule type="colorScale" priority="15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J28:J1048576 J1:J25">
    <cfRule type="duplicateValues" dxfId="4" priority="147"/>
  </conditionalFormatting>
  <conditionalFormatting sqref="K4">
    <cfRule type="colorScale" priority="18">
      <colorScale>
        <cfvo type="num" val="0.3"/>
        <cfvo type="num" val="0.55000000000000004"/>
        <cfvo type="num" val="0.8"/>
        <color rgb="FFFFFF00"/>
        <color rgb="FFFFC000"/>
        <color rgb="FFC00000"/>
      </colorScale>
    </cfRule>
    <cfRule type="colorScale" priority="19">
      <colorScale>
        <cfvo type="num" val="0.3"/>
        <cfvo type="num" val="0.55000000000000004"/>
        <cfvo type="num" val="0.8"/>
        <color rgb="FFC00000"/>
        <color rgb="FFFFC000"/>
        <color rgb="FFFFFF00"/>
      </colorScale>
    </cfRule>
    <cfRule type="colorScale" priority="20">
      <colorScale>
        <cfvo type="num" val="0.3"/>
        <cfvo type="num" val="0.55000000000000004"/>
        <cfvo type="num" val="0.8"/>
        <color rgb="FFC00000"/>
        <color rgb="FFFFC000"/>
        <color rgb="FFFFFF00"/>
      </colorScale>
    </cfRule>
  </conditionalFormatting>
  <conditionalFormatting sqref="S1:S1048576">
    <cfRule type="duplicateValues" dxfId="3" priority="13"/>
  </conditionalFormatting>
  <conditionalFormatting sqref="X2">
    <cfRule type="colorScale" priority="12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X3:X5 X7:X9 X11:X12 X14:X17">
    <cfRule type="colorScale" priority="36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X6">
    <cfRule type="colorScale" priority="11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X10">
    <cfRule type="colorScale" priority="10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X13">
    <cfRule type="colorScale" priority="9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X18:Y1048576 X1 AG29:AH1048576">
    <cfRule type="colorScale" priority="99">
      <colorScale>
        <cfvo type="num" val="0.3"/>
        <cfvo type="num" val="0.55000000000000004"/>
        <cfvo type="num" val="0.8"/>
        <color rgb="FFFFFF00"/>
        <color rgb="FFFFC000"/>
        <color rgb="FFC00000"/>
      </colorScale>
    </cfRule>
  </conditionalFormatting>
  <conditionalFormatting sqref="Y1">
    <cfRule type="colorScale" priority="95">
      <colorScale>
        <cfvo type="num" val="0.3"/>
        <cfvo type="num" val="0.55000000000000004"/>
        <cfvo type="num" val="0.8"/>
        <color rgb="FFFFFF00"/>
        <color rgb="FFFFC000"/>
        <color rgb="FFC00000"/>
      </colorScale>
    </cfRule>
    <cfRule type="colorScale" priority="97">
      <colorScale>
        <cfvo type="num" val="0.3"/>
        <cfvo type="num" val="0.55000000000000004"/>
        <cfvo type="num" val="0.8"/>
        <color rgb="FFC00000"/>
        <color rgb="FFFFC000"/>
        <color rgb="FFFFFF00"/>
      </colorScale>
    </cfRule>
    <cfRule type="colorScale" priority="96">
      <colorScale>
        <cfvo type="num" val="0.3"/>
        <cfvo type="num" val="0.55000000000000004"/>
        <cfvo type="num" val="0.8"/>
        <color rgb="FFC00000"/>
        <color rgb="FFFFC000"/>
        <color rgb="FFFFFF00"/>
      </colorScale>
    </cfRule>
  </conditionalFormatting>
  <conditionalFormatting sqref="AB1:AB1048576">
    <cfRule type="duplicateValues" dxfId="2" priority="8"/>
  </conditionalFormatting>
  <conditionalFormatting sqref="AG1">
    <cfRule type="colorScale" priority="98">
      <colorScale>
        <cfvo type="num" val="0.3"/>
        <cfvo type="num" val="0.55000000000000004"/>
        <cfvo type="num" val="0.8"/>
        <color rgb="FFFFFF00"/>
        <color rgb="FFFFC000"/>
        <color rgb="FFC00000"/>
      </colorScale>
    </cfRule>
  </conditionalFormatting>
  <conditionalFormatting sqref="AG3">
    <cfRule type="colorScale" priority="7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G4:AG6 AG2 AG8:AG10 AG12:AG14 AG16:AG18 AG20:AG22 AG24:AG26 AG28">
    <cfRule type="colorScale" priority="45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G7">
    <cfRule type="colorScale" priority="6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G11">
    <cfRule type="colorScale" priority="5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G15">
    <cfRule type="colorScale" priority="4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G19">
    <cfRule type="colorScale" priority="3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G23">
    <cfRule type="colorScale" priority="2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G27">
    <cfRule type="colorScale" priority="1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H1">
    <cfRule type="colorScale" priority="94">
      <colorScale>
        <cfvo type="num" val="0.3"/>
        <cfvo type="num" val="0.55000000000000004"/>
        <cfvo type="num" val="0.8"/>
        <color rgb="FFC00000"/>
        <color rgb="FFFFC000"/>
        <color rgb="FFFFFF00"/>
      </colorScale>
    </cfRule>
    <cfRule type="colorScale" priority="93">
      <colorScale>
        <cfvo type="num" val="0.3"/>
        <cfvo type="num" val="0.55000000000000004"/>
        <cfvo type="num" val="0.8"/>
        <color rgb="FFC00000"/>
        <color rgb="FFFFC000"/>
        <color rgb="FFFFFF00"/>
      </colorScale>
    </cfRule>
    <cfRule type="colorScale" priority="92">
      <colorScale>
        <cfvo type="num" val="0.3"/>
        <cfvo type="num" val="0.55000000000000004"/>
        <cfvo type="num" val="0.8"/>
        <color rgb="FFFFFF00"/>
        <color rgb="FFFFC000"/>
        <color rgb="FFC000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9230-4351-A349-94BD-4E8E6195D721}">
  <dimension ref="A1:AH30"/>
  <sheetViews>
    <sheetView zoomScaleNormal="85" workbookViewId="0">
      <selection activeCell="I4" sqref="I4:P5"/>
    </sheetView>
  </sheetViews>
  <sheetFormatPr baseColWidth="10" defaultColWidth="8.83203125" defaultRowHeight="16" x14ac:dyDescent="0.2"/>
  <cols>
    <col min="1" max="1" width="11" style="1" customWidth="1"/>
    <col min="2" max="2" width="9" style="1" bestFit="1" customWidth="1"/>
    <col min="3" max="3" width="9.1640625" style="1" bestFit="1" customWidth="1"/>
    <col min="4" max="4" width="15.5" style="1" bestFit="1" customWidth="1"/>
    <col min="5" max="5" width="9" style="19" bestFit="1" customWidth="1"/>
    <col min="6" max="6" width="9" customWidth="1"/>
    <col min="7" max="7" width="9" style="1" bestFit="1" customWidth="1"/>
    <col min="8" max="8" width="8.83203125" style="1"/>
    <col min="9" max="13" width="10.33203125" style="1" customWidth="1"/>
    <col min="14" max="14" width="14" style="18" customWidth="1"/>
    <col min="15" max="22" width="10.33203125" style="1" customWidth="1"/>
    <col min="23" max="23" width="10.33203125" style="18" customWidth="1"/>
    <col min="24" max="31" width="10.33203125" style="1" customWidth="1"/>
    <col min="32" max="32" width="10.33203125" style="18" customWidth="1"/>
    <col min="33" max="34" width="10.33203125" style="1" customWidth="1"/>
    <col min="35" max="16384" width="8.83203125" style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6" t="s">
        <v>4</v>
      </c>
      <c r="F1" s="17" t="s">
        <v>107</v>
      </c>
      <c r="G1" s="1" t="s">
        <v>5</v>
      </c>
      <c r="I1" s="1" t="s">
        <v>6</v>
      </c>
      <c r="J1" s="1" t="s">
        <v>1</v>
      </c>
      <c r="K1" s="1" t="s">
        <v>2</v>
      </c>
      <c r="L1" s="1" t="s">
        <v>3</v>
      </c>
      <c r="M1" s="1" t="s">
        <v>108</v>
      </c>
      <c r="N1" s="16" t="s">
        <v>4</v>
      </c>
      <c r="O1" s="17" t="s">
        <v>107</v>
      </c>
      <c r="P1" s="1" t="s">
        <v>5</v>
      </c>
      <c r="R1" s="1" t="s">
        <v>7</v>
      </c>
      <c r="S1" s="1" t="s">
        <v>1</v>
      </c>
      <c r="T1" s="1" t="s">
        <v>2</v>
      </c>
      <c r="U1" s="1" t="s">
        <v>3</v>
      </c>
      <c r="V1" s="1" t="s">
        <v>108</v>
      </c>
      <c r="W1" s="16" t="s">
        <v>4</v>
      </c>
      <c r="X1" s="17" t="s">
        <v>107</v>
      </c>
      <c r="Y1" s="1" t="s">
        <v>5</v>
      </c>
      <c r="Z1" s="1" t="s">
        <v>108</v>
      </c>
      <c r="AA1" s="1" t="s">
        <v>8</v>
      </c>
      <c r="AB1" s="1" t="s">
        <v>1</v>
      </c>
      <c r="AC1" s="1" t="s">
        <v>2</v>
      </c>
      <c r="AD1" s="1" t="s">
        <v>3</v>
      </c>
      <c r="AE1" s="1" t="s">
        <v>108</v>
      </c>
      <c r="AF1" s="16" t="s">
        <v>4</v>
      </c>
      <c r="AG1" s="17" t="s">
        <v>107</v>
      </c>
      <c r="AH1" s="1" t="s">
        <v>5</v>
      </c>
    </row>
    <row r="2" spans="1:34" x14ac:dyDescent="0.2">
      <c r="A2" s="1" t="s">
        <v>13</v>
      </c>
      <c r="B2" s="1">
        <v>4.306</v>
      </c>
      <c r="C2" s="1">
        <v>8.26</v>
      </c>
      <c r="D2" s="2">
        <v>-5890000</v>
      </c>
      <c r="E2" s="18">
        <f>($C$14/D2)^(1/6) * 1.8</f>
        <v>2.9579871806098788</v>
      </c>
      <c r="F2" s="16" t="str">
        <f>IF(E2&lt;=2.5, "strong", IF(E2&lt;3.5, "medium", "weak"))</f>
        <v>medium</v>
      </c>
      <c r="G2" s="1">
        <v>-170698</v>
      </c>
      <c r="I2" s="1" t="s">
        <v>10</v>
      </c>
      <c r="J2" s="1">
        <v>3.1989999999999998</v>
      </c>
      <c r="K2" s="1">
        <v>4.9370000000000003</v>
      </c>
      <c r="L2" s="2">
        <v>-13500000</v>
      </c>
      <c r="M2" s="2"/>
      <c r="N2" s="18">
        <f>($C$14/L2)^(1/6) * 1.8</f>
        <v>2.5760831398620327</v>
      </c>
      <c r="O2" s="16" t="str">
        <f>IF(N2&lt;=2.5, "strong", IF(N2&lt;3.5, "medium", "weak"))</f>
        <v>medium</v>
      </c>
      <c r="P2" s="1">
        <v>-365342</v>
      </c>
      <c r="R2" s="3" t="s">
        <v>50</v>
      </c>
      <c r="S2" s="4">
        <v>3.1989999999999998</v>
      </c>
      <c r="T2" s="4">
        <v>4.407</v>
      </c>
      <c r="U2" s="5">
        <v>-7280000</v>
      </c>
      <c r="V2" s="5"/>
      <c r="W2" s="18">
        <f>($C$14/U2)^(1/6) * 1.8</f>
        <v>2.855356069091691</v>
      </c>
      <c r="X2" s="16" t="str">
        <f>IF(W2&lt;=2.5, "strong", IF(W2&lt;3.5, "medium", "weak"))</f>
        <v>medium</v>
      </c>
      <c r="Y2" s="4">
        <v>-169008</v>
      </c>
      <c r="AA2" s="6" t="s">
        <v>12</v>
      </c>
      <c r="AB2" s="7">
        <v>1.7070000000000001</v>
      </c>
      <c r="AC2" s="7">
        <v>4.4080000000000004</v>
      </c>
      <c r="AD2" s="8">
        <v>-42100000</v>
      </c>
      <c r="AE2" s="8"/>
      <c r="AF2" s="18">
        <f>($C$14/AD2)^(1/6) * 1.8</f>
        <v>2.1312537181580535</v>
      </c>
      <c r="AG2" s="16" t="str">
        <f>IF(AF2&lt;=2.5, "strong", IF(AF2&lt;3.5, "medium", "weak"))</f>
        <v>strong</v>
      </c>
      <c r="AH2" s="7">
        <v>-1457562</v>
      </c>
    </row>
    <row r="3" spans="1:34" x14ac:dyDescent="0.2">
      <c r="A3" s="1" t="s">
        <v>9</v>
      </c>
      <c r="B3" s="1">
        <v>4.3079999999999998</v>
      </c>
      <c r="C3" s="1">
        <v>8.4830000000000005</v>
      </c>
      <c r="D3" s="2">
        <v>-163000</v>
      </c>
      <c r="E3" s="18">
        <f>($C$14/D3)^(1/6) * 1.8</f>
        <v>5.3783728083648494</v>
      </c>
      <c r="F3" s="16" t="str">
        <f>IF(E3&lt;=2.5, "strong", IF(E3&lt;3.5, "medium", "weak"))</f>
        <v>weak</v>
      </c>
      <c r="G3" s="1">
        <v>-5845</v>
      </c>
      <c r="I3" s="1" t="s">
        <v>14</v>
      </c>
      <c r="J3" s="1">
        <v>4.3289999999999997</v>
      </c>
      <c r="K3" s="1">
        <v>4.9370000000000003</v>
      </c>
      <c r="L3" s="2">
        <v>-49900000</v>
      </c>
      <c r="M3" s="2"/>
      <c r="N3" s="18">
        <f>($C$14/L3)^(1/6) * 1.8</f>
        <v>2.0717248675044164</v>
      </c>
      <c r="O3" s="16" t="str">
        <f>IF(N3&lt;=2.5, "strong", IF(N3&lt;3.5, "medium", "weak"))</f>
        <v>strong</v>
      </c>
      <c r="P3" s="1">
        <v>-1314260</v>
      </c>
      <c r="W3" s="16"/>
      <c r="X3" s="30"/>
      <c r="AA3" s="7" t="s">
        <v>15</v>
      </c>
      <c r="AB3" s="7">
        <v>3.198</v>
      </c>
      <c r="AC3" s="7">
        <v>4.3380000000000001</v>
      </c>
      <c r="AD3" s="8">
        <v>-39900000</v>
      </c>
      <c r="AE3" s="2">
        <f>SUM(AD3:AD4)</f>
        <v>-82500000</v>
      </c>
      <c r="AF3" s="18">
        <f>($C$14/AE3)^(1/6) * 1.8</f>
        <v>1.9051968080023445</v>
      </c>
      <c r="AG3" s="16" t="str">
        <f>IF(AF3&lt;=2.5, "strong", IF(AF3&lt;3.5, "medium", "weak"))</f>
        <v>strong</v>
      </c>
      <c r="AH3" s="7">
        <v>-1520767</v>
      </c>
    </row>
    <row r="4" spans="1:34" x14ac:dyDescent="0.2">
      <c r="E4" s="16"/>
      <c r="F4" s="1"/>
      <c r="I4" s="34" t="s">
        <v>51</v>
      </c>
      <c r="J4" s="34">
        <v>1.774</v>
      </c>
      <c r="K4" s="34">
        <v>3.2069999999999999</v>
      </c>
      <c r="L4" s="35">
        <v>-1570000</v>
      </c>
      <c r="M4" s="35">
        <f>SUM(L4:L5)</f>
        <v>-3420000</v>
      </c>
      <c r="N4" s="36">
        <f>($C$14/M4)^(1/6) * 1.8</f>
        <v>3.2385043566487912</v>
      </c>
      <c r="O4" s="37" t="str">
        <f>IF(N4&lt;=2.5, "strong", IF(N4&lt;3.5, "medium", "weak"))</f>
        <v>medium</v>
      </c>
      <c r="P4" s="34">
        <v>-94919</v>
      </c>
      <c r="R4" s="41" t="s">
        <v>11</v>
      </c>
      <c r="S4" s="42">
        <v>1.774</v>
      </c>
      <c r="T4" s="42">
        <v>3.363</v>
      </c>
      <c r="U4" s="43">
        <v>-10700000</v>
      </c>
      <c r="V4" s="35">
        <f>SUM(U4:U5)</f>
        <v>-23100000</v>
      </c>
      <c r="W4" s="36">
        <f>($C$14/V4)^(1/6) * 1.8</f>
        <v>2.3554840800315739</v>
      </c>
      <c r="X4" s="37" t="str">
        <f>IF(W4&lt;=2.5, "strong", IF(W4&lt;3.5, "medium", "weak"))</f>
        <v>strong</v>
      </c>
      <c r="Y4" s="42">
        <v>-636579</v>
      </c>
      <c r="AA4" s="7" t="s">
        <v>15</v>
      </c>
      <c r="AB4" s="7">
        <v>3.1989999999999998</v>
      </c>
      <c r="AC4" s="7">
        <v>4.32</v>
      </c>
      <c r="AD4" s="8">
        <v>-42600000</v>
      </c>
      <c r="AE4" s="8"/>
      <c r="AG4" s="16"/>
      <c r="AH4" s="7">
        <v>-1431460</v>
      </c>
    </row>
    <row r="5" spans="1:34" x14ac:dyDescent="0.2">
      <c r="A5" s="1" t="s">
        <v>17</v>
      </c>
      <c r="B5" s="1">
        <v>4.3710000000000004</v>
      </c>
      <c r="C5" s="1">
        <v>8.26</v>
      </c>
      <c r="D5" s="2">
        <v>-648000</v>
      </c>
      <c r="E5" s="18">
        <f>($C$14/D5)^(1/6) * 1.8</f>
        <v>4.2731978609871524</v>
      </c>
      <c r="F5" s="16" t="str">
        <f>IF(E5&lt;=2.5, "strong", IF(E5&lt;3.5, "medium", "weak"))</f>
        <v>weak</v>
      </c>
      <c r="G5" s="1">
        <v>-18673</v>
      </c>
      <c r="I5" s="34" t="s">
        <v>51</v>
      </c>
      <c r="J5" s="34">
        <v>1.774</v>
      </c>
      <c r="K5" s="34">
        <v>3.1890000000000001</v>
      </c>
      <c r="L5" s="35">
        <v>-1850000</v>
      </c>
      <c r="M5" s="35"/>
      <c r="N5" s="36"/>
      <c r="O5" s="37"/>
      <c r="P5" s="34">
        <v>-98403</v>
      </c>
      <c r="R5" s="42" t="s">
        <v>11</v>
      </c>
      <c r="S5" s="42">
        <v>1.774</v>
      </c>
      <c r="T5" s="42">
        <v>3.3809999999999998</v>
      </c>
      <c r="U5" s="43">
        <v>-12400000</v>
      </c>
      <c r="V5" s="43"/>
      <c r="W5" s="36"/>
      <c r="X5" s="37"/>
      <c r="Y5" s="42">
        <v>-705122</v>
      </c>
      <c r="AF5" s="30"/>
      <c r="AG5" s="30"/>
    </row>
    <row r="6" spans="1:34" x14ac:dyDescent="0.2">
      <c r="A6" s="1" t="s">
        <v>52</v>
      </c>
      <c r="B6" s="1">
        <v>4.3710000000000004</v>
      </c>
      <c r="C6" s="1">
        <v>8.4830000000000005</v>
      </c>
      <c r="D6" s="2">
        <v>-847000</v>
      </c>
      <c r="E6" s="18">
        <f>($C$14/D6)^(1/6) * 1.8</f>
        <v>4.0866577535265849</v>
      </c>
      <c r="F6" s="16" t="str">
        <f>IF(E6&lt;=2.5, "strong", IF(E6&lt;3.5, "medium", "weak"))</f>
        <v>weak</v>
      </c>
      <c r="G6" s="1">
        <v>-25591</v>
      </c>
      <c r="N6" s="16"/>
      <c r="O6" s="30"/>
      <c r="R6" s="4" t="s">
        <v>16</v>
      </c>
      <c r="S6" s="4">
        <v>3.3730000000000002</v>
      </c>
      <c r="T6" s="4">
        <v>4.9370000000000003</v>
      </c>
      <c r="U6" s="5">
        <v>-9960000</v>
      </c>
      <c r="V6" s="5"/>
      <c r="W6" s="18">
        <f>($C$14/U6)^(1/6) * 1.8</f>
        <v>2.710018653704632</v>
      </c>
      <c r="X6" s="16" t="str">
        <f>IF(W6&lt;=2.5, "strong", IF(W6&lt;3.5, "medium", "weak"))</f>
        <v>medium</v>
      </c>
      <c r="Y6" s="4">
        <v>-249642</v>
      </c>
      <c r="AA6" s="6" t="s">
        <v>20</v>
      </c>
      <c r="AB6" s="7">
        <v>1.774</v>
      </c>
      <c r="AC6" s="7">
        <v>4.9370000000000003</v>
      </c>
      <c r="AD6" s="8">
        <v>-40300000</v>
      </c>
      <c r="AE6" s="8"/>
      <c r="AF6" s="18">
        <f>($C$14/AD6)^(1/6) * 1.8</f>
        <v>2.1468316811493078</v>
      </c>
      <c r="AG6" s="16" t="str">
        <f>IF(AF6&lt;=2.5, "strong", IF(AF6&lt;3.5, "medium", "weak"))</f>
        <v>strong</v>
      </c>
      <c r="AH6" s="7">
        <v>-1292874</v>
      </c>
    </row>
    <row r="7" spans="1:34" x14ac:dyDescent="0.2">
      <c r="A7" s="1" t="s">
        <v>53</v>
      </c>
      <c r="B7" s="1">
        <v>4.09</v>
      </c>
      <c r="C7" s="1">
        <v>8.26</v>
      </c>
      <c r="D7" s="2">
        <v>-682000</v>
      </c>
      <c r="E7" s="18">
        <f>($C$14/D7)^(1/6) * 1.8</f>
        <v>4.2369314824672468</v>
      </c>
      <c r="F7" s="16" t="str">
        <f>IF(E7&lt;=2.5, "strong", IF(E7&lt;3.5, "medium", "weak"))</f>
        <v>weak</v>
      </c>
      <c r="G7" s="1">
        <v>-16664</v>
      </c>
      <c r="I7" s="1" t="s">
        <v>54</v>
      </c>
      <c r="J7" s="1">
        <v>3.78</v>
      </c>
      <c r="K7" s="1">
        <v>4.3810000000000002</v>
      </c>
      <c r="L7" s="2">
        <v>-19400000</v>
      </c>
      <c r="M7" s="2">
        <f>SUM(L7:L8)</f>
        <v>-39000000</v>
      </c>
      <c r="N7" s="18">
        <f>($C$14/M7)^(1/6) * 1.8</f>
        <v>2.1585961699040004</v>
      </c>
      <c r="O7" s="16" t="str">
        <f>IF(N7&lt;=2.5, "strong", IF(N7&lt;3.5, "medium", "weak"))</f>
        <v>strong</v>
      </c>
      <c r="P7" s="1">
        <v>-768112</v>
      </c>
      <c r="W7" s="16"/>
      <c r="X7" s="30"/>
      <c r="AA7" s="7" t="s">
        <v>21</v>
      </c>
      <c r="AB7" s="7">
        <v>3.3730000000000002</v>
      </c>
      <c r="AC7" s="7">
        <v>3.77</v>
      </c>
      <c r="AD7" s="8">
        <v>-48100000</v>
      </c>
      <c r="AE7" s="2">
        <f>SUM(AD7:AD8)</f>
        <v>-106800000</v>
      </c>
      <c r="AF7" s="18">
        <f>($C$14/AE7)^(1/6) * 1.8</f>
        <v>1.8249611679981219</v>
      </c>
      <c r="AG7" s="16" t="str">
        <f>IF(AF7&lt;=2.5, "strong", IF(AF7&lt;3.5, "medium", "weak"))</f>
        <v>strong</v>
      </c>
      <c r="AH7" s="7">
        <v>-1929108</v>
      </c>
    </row>
    <row r="8" spans="1:34" x14ac:dyDescent="0.2">
      <c r="E8" s="18"/>
      <c r="F8" s="1"/>
      <c r="I8" s="1" t="s">
        <v>54</v>
      </c>
      <c r="J8" s="1">
        <v>3.7789999999999999</v>
      </c>
      <c r="K8" s="1">
        <v>4.3609999999999998</v>
      </c>
      <c r="L8" s="2">
        <v>-19600000</v>
      </c>
      <c r="M8" s="2"/>
      <c r="O8" s="16"/>
      <c r="P8" s="1">
        <v>-807234</v>
      </c>
      <c r="R8" s="41" t="s">
        <v>19</v>
      </c>
      <c r="S8" s="42">
        <v>1.591</v>
      </c>
      <c r="T8" s="42">
        <v>4.0839999999999996</v>
      </c>
      <c r="U8" s="43">
        <v>-14900000</v>
      </c>
      <c r="V8" s="35">
        <f>SUM(U8:U9)</f>
        <v>-30700000</v>
      </c>
      <c r="W8" s="36">
        <f>($C$14/V8)^(1/6) * 1.8</f>
        <v>2.2464276746315446</v>
      </c>
      <c r="X8" s="37" t="str">
        <f>IF(W8&lt;=2.5, "strong", IF(W8&lt;3.5, "medium", "weak"))</f>
        <v>strong</v>
      </c>
      <c r="Y8" s="42">
        <v>-1035650</v>
      </c>
      <c r="AA8" s="7" t="s">
        <v>21</v>
      </c>
      <c r="AB8" s="7">
        <v>3.371</v>
      </c>
      <c r="AC8" s="7">
        <v>3.7879999999999998</v>
      </c>
      <c r="AD8" s="8">
        <v>-58700000</v>
      </c>
      <c r="AE8" s="8"/>
      <c r="AG8" s="16"/>
      <c r="AH8" s="7">
        <v>-2160640</v>
      </c>
    </row>
    <row r="9" spans="1:34" x14ac:dyDescent="0.2">
      <c r="E9" s="18"/>
      <c r="F9" s="1"/>
      <c r="N9" s="16"/>
      <c r="O9" s="30"/>
      <c r="R9" s="42" t="s">
        <v>19</v>
      </c>
      <c r="S9" s="42">
        <v>1.591</v>
      </c>
      <c r="T9" s="42">
        <v>4.1040000000000001</v>
      </c>
      <c r="U9" s="43">
        <v>-15800000</v>
      </c>
      <c r="V9" s="43"/>
      <c r="W9" s="36"/>
      <c r="X9" s="37"/>
      <c r="Y9" s="42">
        <v>-1051410</v>
      </c>
      <c r="AF9" s="30"/>
      <c r="AG9" s="30"/>
    </row>
    <row r="10" spans="1:34" x14ac:dyDescent="0.2">
      <c r="E10" s="18"/>
      <c r="F10" s="1"/>
      <c r="I10" s="1" t="s">
        <v>55</v>
      </c>
      <c r="J10" s="1">
        <v>4.0659999999999998</v>
      </c>
      <c r="K10" s="1">
        <v>4.383</v>
      </c>
      <c r="L10" s="2">
        <v>-1920000</v>
      </c>
      <c r="M10" s="2">
        <f>SUM(L10:L11)</f>
        <v>-2638000</v>
      </c>
      <c r="N10" s="18">
        <f>($C$14/M10)^(1/6) * 1.8</f>
        <v>3.3817100754648015</v>
      </c>
      <c r="O10" s="16" t="str">
        <f>IF(N10&lt;=2.5, "strong", IF(N10&lt;3.5, "medium", "weak"))</f>
        <v>medium</v>
      </c>
      <c r="P10" s="1">
        <v>-714671</v>
      </c>
      <c r="R10" s="4" t="s">
        <v>23</v>
      </c>
      <c r="S10" s="4">
        <v>4.0949999999999998</v>
      </c>
      <c r="T10" s="4">
        <v>5.9080000000000004</v>
      </c>
      <c r="U10" s="5">
        <v>-7740000</v>
      </c>
      <c r="V10" s="5"/>
      <c r="W10" s="18">
        <f>($C$14/U10)^(1/6) * 1.8</f>
        <v>2.8263461060311834</v>
      </c>
      <c r="X10" s="16" t="str">
        <f>IF(W10&lt;=2.5, "strong", IF(W10&lt;3.5, "medium", "weak"))</f>
        <v>medium</v>
      </c>
      <c r="Y10" s="4">
        <v>-184229</v>
      </c>
      <c r="AA10" s="6" t="s">
        <v>26</v>
      </c>
      <c r="AB10" s="7">
        <v>1.591</v>
      </c>
      <c r="AC10" s="7">
        <v>5.907</v>
      </c>
      <c r="AD10" s="8">
        <v>-32700000</v>
      </c>
      <c r="AE10" s="8"/>
      <c r="AF10" s="18">
        <f>($C$14/AD10)^(1/6) * 1.8</f>
        <v>2.2229219343248205</v>
      </c>
      <c r="AG10" s="16" t="str">
        <f>IF(AF10&lt;=2.5, "strong", IF(AF10&lt;3.5, "medium", "weak"))</f>
        <v>strong</v>
      </c>
      <c r="AH10" s="7">
        <v>-1128753</v>
      </c>
    </row>
    <row r="11" spans="1:34" x14ac:dyDescent="0.2">
      <c r="E11" s="18"/>
      <c r="F11" s="1"/>
      <c r="I11" s="1" t="s">
        <v>55</v>
      </c>
      <c r="J11" s="1">
        <v>4.069</v>
      </c>
      <c r="K11" s="1">
        <v>4.3639999999999999</v>
      </c>
      <c r="L11" s="2">
        <v>-718000</v>
      </c>
      <c r="M11" s="2"/>
      <c r="O11" s="16"/>
      <c r="P11" s="1">
        <v>-971901</v>
      </c>
      <c r="W11" s="16"/>
      <c r="X11" s="30"/>
      <c r="AA11" s="7" t="s">
        <v>28</v>
      </c>
      <c r="AB11" s="7">
        <v>4.0880000000000001</v>
      </c>
      <c r="AC11" s="7">
        <v>4.3609999999999998</v>
      </c>
      <c r="AD11" s="8">
        <v>-50900000</v>
      </c>
      <c r="AE11" s="2">
        <f>SUM(AD11:AD12)</f>
        <v>-124500000</v>
      </c>
      <c r="AF11" s="18">
        <f>($C$14/AE11)^(1/6) * 1.8</f>
        <v>1.7789098699930648</v>
      </c>
      <c r="AG11" s="16" t="str">
        <f>IF(AF11&lt;=2.5, "strong", IF(AF11&lt;3.5, "medium", "weak"))</f>
        <v>strong</v>
      </c>
      <c r="AH11" s="7">
        <v>-1820839</v>
      </c>
    </row>
    <row r="12" spans="1:34" x14ac:dyDescent="0.2">
      <c r="E12" s="18"/>
      <c r="F12" s="1"/>
      <c r="N12" s="16"/>
      <c r="O12" s="30"/>
      <c r="R12" s="41" t="s">
        <v>56</v>
      </c>
      <c r="S12" s="42">
        <v>1.34</v>
      </c>
      <c r="T12" s="42">
        <v>3.41</v>
      </c>
      <c r="U12" s="43">
        <v>-8360000</v>
      </c>
      <c r="V12" s="35">
        <f>SUM(U12:U13)</f>
        <v>-17190000</v>
      </c>
      <c r="W12" s="36">
        <f>($C$14/V12)^(1/6) * 1.8</f>
        <v>2.4743978170819769</v>
      </c>
      <c r="X12" s="37" t="str">
        <f>IF(W12&lt;=2.5, "strong", IF(W12&lt;3.5, "medium", "weak"))</f>
        <v>strong</v>
      </c>
      <c r="Y12" s="42">
        <v>-588614</v>
      </c>
      <c r="AA12" s="7" t="s">
        <v>28</v>
      </c>
      <c r="AB12" s="7">
        <v>4.0890000000000004</v>
      </c>
      <c r="AC12" s="7">
        <v>4.3810000000000002</v>
      </c>
      <c r="AD12" s="8">
        <v>-73600000</v>
      </c>
      <c r="AE12" s="8"/>
      <c r="AG12" s="16"/>
      <c r="AH12" s="7">
        <v>-2754107</v>
      </c>
    </row>
    <row r="13" spans="1:34" x14ac:dyDescent="0.2">
      <c r="C13" s="13" t="s">
        <v>24</v>
      </c>
      <c r="E13" s="18"/>
      <c r="F13" s="1"/>
      <c r="I13" s="1" t="s">
        <v>57</v>
      </c>
      <c r="J13" s="1">
        <v>3.4630000000000001</v>
      </c>
      <c r="K13" s="1">
        <v>4.0640000000000001</v>
      </c>
      <c r="L13" s="2">
        <v>-11900000</v>
      </c>
      <c r="M13" s="2">
        <f>SUM(L13:L14)</f>
        <v>-26400000</v>
      </c>
      <c r="N13" s="18">
        <f>($C$14/M13)^(1/6) * 1.8</f>
        <v>2.3036412618632158</v>
      </c>
      <c r="O13" s="16" t="str">
        <f>IF(N13&lt;=2.5, "strong", IF(N13&lt;3.5, "medium", "weak"))</f>
        <v>strong</v>
      </c>
      <c r="P13" s="1">
        <v>-316268</v>
      </c>
      <c r="R13" s="42" t="s">
        <v>56</v>
      </c>
      <c r="S13" s="42">
        <v>1.34</v>
      </c>
      <c r="T13" s="42">
        <v>3.43</v>
      </c>
      <c r="U13" s="43">
        <v>-8830000</v>
      </c>
      <c r="V13" s="43"/>
      <c r="W13" s="36"/>
      <c r="X13" s="37"/>
      <c r="Y13" s="42">
        <v>-594246</v>
      </c>
      <c r="AF13" s="30"/>
      <c r="AG13" s="30"/>
    </row>
    <row r="14" spans="1:34" x14ac:dyDescent="0.2">
      <c r="C14" s="8">
        <f>SUM(AD27:AD28)</f>
        <v>-116000000</v>
      </c>
      <c r="E14" s="18"/>
      <c r="F14" s="1"/>
      <c r="I14" s="1" t="s">
        <v>57</v>
      </c>
      <c r="J14" s="1">
        <v>3.468</v>
      </c>
      <c r="K14" s="1">
        <v>4.085</v>
      </c>
      <c r="L14" s="2">
        <v>-14500000</v>
      </c>
      <c r="M14" s="2"/>
      <c r="O14" s="16"/>
      <c r="P14" s="1">
        <v>-362504</v>
      </c>
      <c r="R14" s="4" t="s">
        <v>58</v>
      </c>
      <c r="S14" s="4">
        <v>3.4209999999999998</v>
      </c>
      <c r="T14" s="4">
        <v>5.7539999999999996</v>
      </c>
      <c r="U14" s="5">
        <v>-4000000</v>
      </c>
      <c r="V14" s="5"/>
      <c r="W14" s="18">
        <f>($C$14/U14)^(1/6) * 1.8</f>
        <v>3.1550446138243666</v>
      </c>
      <c r="X14" s="16" t="str">
        <f>IF(W14&lt;=2.5, "strong", IF(W14&lt;3.5, "medium", "weak"))</f>
        <v>medium</v>
      </c>
      <c r="Y14" s="4">
        <v>-88364</v>
      </c>
      <c r="AA14" s="6" t="s">
        <v>32</v>
      </c>
      <c r="AB14" s="7">
        <v>1.339</v>
      </c>
      <c r="AC14" s="7">
        <v>5.7530000000000001</v>
      </c>
      <c r="AD14" s="8">
        <v>-33700000</v>
      </c>
      <c r="AE14" s="8"/>
      <c r="AF14" s="18">
        <f>($C$14/AD14)^(1/6) * 1.8</f>
        <v>2.2117898114427152</v>
      </c>
      <c r="AG14" s="16" t="str">
        <f>IF(AF14&lt;=2.5, "strong", IF(AF14&lt;3.5, "medium", "weak"))</f>
        <v>strong</v>
      </c>
      <c r="AH14" s="7">
        <v>-1304435</v>
      </c>
    </row>
    <row r="15" spans="1:34" x14ac:dyDescent="0.2">
      <c r="E15" s="18"/>
      <c r="F15" s="1"/>
      <c r="N15" s="16"/>
      <c r="O15" s="30"/>
      <c r="W15" s="16"/>
      <c r="X15" s="30"/>
      <c r="AA15" s="7" t="s">
        <v>36</v>
      </c>
      <c r="AB15" s="7">
        <v>3.42</v>
      </c>
      <c r="AC15" s="7">
        <v>4.0640000000000001</v>
      </c>
      <c r="AD15" s="8">
        <v>-49100000</v>
      </c>
      <c r="AE15" s="2">
        <f>SUM(AD15:AD16)</f>
        <v>-107800000</v>
      </c>
      <c r="AF15" s="18">
        <f>($C$14/AE15)^(1/6) * 1.8</f>
        <v>1.8221286769219645</v>
      </c>
      <c r="AG15" s="16" t="str">
        <f>IF(AF15&lt;=2.5, "strong", IF(AF15&lt;3.5, "medium", "weak"))</f>
        <v>strong</v>
      </c>
      <c r="AH15" s="7">
        <v>-1798433</v>
      </c>
    </row>
    <row r="16" spans="1:34" x14ac:dyDescent="0.2">
      <c r="D16" s="17" t="s">
        <v>110</v>
      </c>
      <c r="E16" s="18"/>
      <c r="F16" s="1"/>
      <c r="I16" s="1" t="s">
        <v>31</v>
      </c>
      <c r="J16" s="1">
        <v>3.4729999999999999</v>
      </c>
      <c r="K16" s="1">
        <v>4.7679999999999998</v>
      </c>
      <c r="L16" s="2">
        <v>-19400000</v>
      </c>
      <c r="M16" s="2"/>
      <c r="N16" s="18">
        <f>($C$14/L16)^(1/6) * 1.8</f>
        <v>2.4250193871898822</v>
      </c>
      <c r="O16" s="16" t="str">
        <f>IF(N16&lt;=2.5, "strong", IF(N16&lt;3.5, "medium", "weak"))</f>
        <v>strong</v>
      </c>
      <c r="P16" s="1">
        <v>-472168</v>
      </c>
      <c r="R16" s="41" t="s">
        <v>59</v>
      </c>
      <c r="S16" s="41">
        <v>1.5569999999999999</v>
      </c>
      <c r="T16" s="41">
        <v>3.4489999999999998</v>
      </c>
      <c r="U16" s="43">
        <v>-8990000</v>
      </c>
      <c r="V16" s="35">
        <f>SUM(U16:U17)</f>
        <v>-19690000</v>
      </c>
      <c r="W16" s="36">
        <f>($C$14/V16)^(1/6) * 1.8</f>
        <v>2.4190297934344063</v>
      </c>
      <c r="X16" s="37" t="str">
        <f>IF(W16&lt;=2.5, "strong", IF(W16&lt;3.5, "medium", "weak"))</f>
        <v>strong</v>
      </c>
      <c r="Y16" s="41">
        <v>-728942</v>
      </c>
      <c r="AA16" s="7" t="s">
        <v>36</v>
      </c>
      <c r="AB16" s="7">
        <v>3.4169999999999998</v>
      </c>
      <c r="AC16" s="7">
        <v>4.085</v>
      </c>
      <c r="AD16" s="8">
        <v>-58700000</v>
      </c>
      <c r="AE16" s="8"/>
      <c r="AG16" s="16"/>
      <c r="AH16" s="7">
        <v>-2213672</v>
      </c>
    </row>
    <row r="17" spans="3:34" x14ac:dyDescent="0.2">
      <c r="C17" s="11" t="s">
        <v>33</v>
      </c>
      <c r="D17" s="16" t="s">
        <v>112</v>
      </c>
      <c r="E17" s="18"/>
      <c r="F17" s="1"/>
      <c r="I17" s="1" t="s">
        <v>34</v>
      </c>
      <c r="J17" s="1">
        <v>3.8519999999999999</v>
      </c>
      <c r="K17" s="1">
        <v>4.7679999999999998</v>
      </c>
      <c r="L17" s="2">
        <v>-74100000</v>
      </c>
      <c r="M17" s="2"/>
      <c r="N17" s="18">
        <f>($C$14/L17)^(1/6) * 1.8</f>
        <v>1.9396013094640594</v>
      </c>
      <c r="O17" s="16" t="str">
        <f>IF(N17&lt;=2.5, "strong", IF(N17&lt;3.5, "medium", "weak"))</f>
        <v>strong</v>
      </c>
      <c r="P17" s="1">
        <v>-1838610</v>
      </c>
      <c r="R17" s="41" t="s">
        <v>59</v>
      </c>
      <c r="S17" s="41">
        <v>1.5569999999999999</v>
      </c>
      <c r="T17" s="41">
        <v>3.47</v>
      </c>
      <c r="U17" s="43">
        <v>-10700000</v>
      </c>
      <c r="V17" s="43"/>
      <c r="W17" s="36"/>
      <c r="X17" s="37"/>
      <c r="Y17" s="41">
        <v>-657637</v>
      </c>
      <c r="AA17" s="3"/>
      <c r="AB17" s="4"/>
      <c r="AC17" s="4"/>
      <c r="AD17" s="5"/>
      <c r="AE17" s="5"/>
      <c r="AF17" s="30"/>
      <c r="AG17" s="30"/>
      <c r="AH17" s="4"/>
    </row>
    <row r="18" spans="3:34" x14ac:dyDescent="0.2">
      <c r="C18" s="12" t="s">
        <v>37</v>
      </c>
      <c r="D18" s="22" t="s">
        <v>115</v>
      </c>
      <c r="E18" s="18"/>
      <c r="F18" s="1"/>
      <c r="I18" s="34" t="s">
        <v>60</v>
      </c>
      <c r="J18" s="34">
        <v>1.696</v>
      </c>
      <c r="K18" s="34">
        <v>3.8420000000000001</v>
      </c>
      <c r="L18" s="35">
        <v>-3870000</v>
      </c>
      <c r="M18" s="35">
        <f>SUM(L18:L19)</f>
        <v>-7740000</v>
      </c>
      <c r="N18" s="36">
        <f>($C$14/M18)^(1/6) * 1.8</f>
        <v>2.8263461060311834</v>
      </c>
      <c r="O18" s="37" t="str">
        <f>IF(N18&lt;=2.5, "strong", IF(N18&lt;3.5, "medium", "weak"))</f>
        <v>medium</v>
      </c>
      <c r="P18" s="34">
        <v>-241637</v>
      </c>
      <c r="R18" s="41" t="s">
        <v>61</v>
      </c>
      <c r="S18" s="41">
        <v>1.5640000000000001</v>
      </c>
      <c r="T18" s="41">
        <v>3.8610000000000002</v>
      </c>
      <c r="U18" s="43">
        <v>-4180000</v>
      </c>
      <c r="V18" s="35">
        <f>SUM(U18:U19)</f>
        <v>-8580000</v>
      </c>
      <c r="W18" s="36">
        <f>($C$14/V18)^(1/6) * 1.8</f>
        <v>2.7782263240940037</v>
      </c>
      <c r="X18" s="37" t="str">
        <f>IF(W18&lt;=2.5, "strong", IF(W18&lt;3.5, "medium", "weak"))</f>
        <v>medium</v>
      </c>
      <c r="Y18" s="41">
        <v>-240650</v>
      </c>
      <c r="AA18" s="6" t="s">
        <v>42</v>
      </c>
      <c r="AB18" s="7">
        <v>1.5629999999999999</v>
      </c>
      <c r="AC18" s="7">
        <v>6.0369999999999999</v>
      </c>
      <c r="AD18" s="8">
        <v>-33300000</v>
      </c>
      <c r="AE18" s="8"/>
      <c r="AF18" s="18">
        <f>($C$14/AD18)^(1/6) * 1.8</f>
        <v>2.2161958181867809</v>
      </c>
      <c r="AG18" s="16" t="str">
        <f>IF(AF18&lt;=2.5, "strong", IF(AF18&lt;3.5, "medium", "weak"))</f>
        <v>strong</v>
      </c>
      <c r="AH18" s="7">
        <v>-1027430</v>
      </c>
    </row>
    <row r="19" spans="3:34" x14ac:dyDescent="0.2">
      <c r="C19" s="9" t="s">
        <v>39</v>
      </c>
      <c r="D19" s="22" t="s">
        <v>114</v>
      </c>
      <c r="E19" s="18"/>
      <c r="F19" s="1"/>
      <c r="I19" s="34" t="s">
        <v>60</v>
      </c>
      <c r="J19" s="34">
        <v>1.696</v>
      </c>
      <c r="K19" s="34">
        <v>3.8620000000000001</v>
      </c>
      <c r="L19" s="35">
        <v>-3870000</v>
      </c>
      <c r="M19" s="35"/>
      <c r="N19" s="36"/>
      <c r="O19" s="37"/>
      <c r="P19" s="34">
        <v>-226682</v>
      </c>
      <c r="R19" s="41" t="s">
        <v>61</v>
      </c>
      <c r="S19" s="41">
        <v>1.5629999999999999</v>
      </c>
      <c r="T19" s="41">
        <v>3.8410000000000002</v>
      </c>
      <c r="U19" s="43">
        <v>-4400000</v>
      </c>
      <c r="V19" s="43"/>
      <c r="W19" s="36"/>
      <c r="X19" s="37"/>
      <c r="Y19" s="41">
        <v>-255198</v>
      </c>
      <c r="AA19" s="7" t="s">
        <v>43</v>
      </c>
      <c r="AB19" s="7">
        <v>3.4689999999999999</v>
      </c>
      <c r="AC19" s="7">
        <v>3.8410000000000002</v>
      </c>
      <c r="AD19" s="8">
        <v>-49000000</v>
      </c>
      <c r="AE19" s="2">
        <f>SUM(AD19:AD20)</f>
        <v>-116600000</v>
      </c>
      <c r="AF19" s="18">
        <f>($C$14/AE19)^(1/6) * 1.8</f>
        <v>1.7984529403697038</v>
      </c>
      <c r="AG19" s="16" t="str">
        <f>IF(AF19&lt;=2.5, "strong", IF(AF19&lt;3.5, "medium", "weak"))</f>
        <v>strong</v>
      </c>
      <c r="AH19" s="7">
        <v>-1710511</v>
      </c>
    </row>
    <row r="20" spans="3:34" x14ac:dyDescent="0.2">
      <c r="D20" s="16"/>
      <c r="E20" s="18"/>
      <c r="F20" s="1"/>
      <c r="N20" s="16"/>
      <c r="O20" s="30"/>
      <c r="R20" s="3" t="s">
        <v>62</v>
      </c>
      <c r="S20" s="3">
        <v>3.8519999999999999</v>
      </c>
      <c r="T20" s="3">
        <v>6.0369999999999999</v>
      </c>
      <c r="U20" s="5">
        <v>-2980000</v>
      </c>
      <c r="V20" s="5"/>
      <c r="W20" s="18">
        <f>($C$14/U20)^(1/6) * 1.8</f>
        <v>3.3136969849943956</v>
      </c>
      <c r="X20" s="16" t="str">
        <f>IF(W20&lt;=2.5, "strong", IF(W20&lt;3.5, "medium", "weak"))</f>
        <v>medium</v>
      </c>
      <c r="Y20" s="3">
        <v>-67485</v>
      </c>
      <c r="AA20" s="7" t="s">
        <v>43</v>
      </c>
      <c r="AB20" s="7">
        <v>3.4670000000000001</v>
      </c>
      <c r="AC20" s="7">
        <v>3.8610000000000002</v>
      </c>
      <c r="AD20" s="8">
        <v>-67600000</v>
      </c>
      <c r="AE20" s="8"/>
      <c r="AG20" s="16"/>
      <c r="AH20" s="7">
        <v>-2648934</v>
      </c>
    </row>
    <row r="21" spans="3:34" x14ac:dyDescent="0.2">
      <c r="E21" s="18"/>
      <c r="F21" s="1"/>
      <c r="I21" s="1" t="s">
        <v>44</v>
      </c>
      <c r="J21" s="1">
        <v>3.4119999999999999</v>
      </c>
      <c r="K21" s="1">
        <v>3.722</v>
      </c>
      <c r="L21" s="2">
        <v>-7700000</v>
      </c>
      <c r="M21" s="2">
        <f>SUM(L21:L22)</f>
        <v>-19000000</v>
      </c>
      <c r="N21" s="18">
        <f>($C$14/M21)^(1/6) * 1.8</f>
        <v>2.4334545343726148</v>
      </c>
      <c r="O21" s="16" t="str">
        <f>IF(N21&lt;=2.5, "strong", IF(N21&lt;3.5, "medium", "weak"))</f>
        <v>strong</v>
      </c>
      <c r="P21" s="1">
        <v>-324769</v>
      </c>
      <c r="W21" s="16"/>
      <c r="X21" s="30"/>
      <c r="AF21" s="30"/>
      <c r="AG21" s="30"/>
    </row>
    <row r="22" spans="3:34" x14ac:dyDescent="0.2">
      <c r="E22" s="18"/>
      <c r="F22" s="1"/>
      <c r="I22" s="1" t="s">
        <v>44</v>
      </c>
      <c r="J22" s="1">
        <v>3.4119999999999999</v>
      </c>
      <c r="K22" s="1">
        <v>3.7450000000000001</v>
      </c>
      <c r="L22" s="2">
        <v>-11300000</v>
      </c>
      <c r="M22" s="2"/>
      <c r="O22" s="16"/>
      <c r="P22" s="1">
        <v>-374321</v>
      </c>
      <c r="R22" s="41" t="s">
        <v>25</v>
      </c>
      <c r="S22" s="42">
        <v>1.696</v>
      </c>
      <c r="T22" s="42">
        <v>3.399</v>
      </c>
      <c r="U22" s="43">
        <v>-14500000</v>
      </c>
      <c r="V22" s="35">
        <f>SUM(U22:U23)</f>
        <v>-29900000</v>
      </c>
      <c r="W22" s="36">
        <f>($C$14/V22)^(1/6) * 1.8</f>
        <v>2.2563353034788221</v>
      </c>
      <c r="X22" s="37" t="str">
        <f>IF(W22&lt;=2.5, "strong", IF(W22&lt;3.5, "medium", "weak"))</f>
        <v>strong</v>
      </c>
      <c r="Y22" s="42">
        <v>-1057600</v>
      </c>
      <c r="AA22" s="6" t="s">
        <v>45</v>
      </c>
      <c r="AB22" s="7">
        <v>1.6950000000000001</v>
      </c>
      <c r="AC22" s="7">
        <v>4.7679999999999998</v>
      </c>
      <c r="AD22" s="8">
        <v>-38600000</v>
      </c>
      <c r="AE22" s="8"/>
      <c r="AF22" s="18">
        <f>($C$14/AD22)^(1/6) * 1.8</f>
        <v>2.162308319127221</v>
      </c>
      <c r="AG22" s="16" t="str">
        <f>IF(AF22&lt;=2.5, "strong", IF(AF22&lt;3.5, "medium", "weak"))</f>
        <v>strong</v>
      </c>
      <c r="AH22" s="7">
        <v>-1424667</v>
      </c>
    </row>
    <row r="23" spans="3:34" x14ac:dyDescent="0.2">
      <c r="E23" s="18"/>
      <c r="F23" s="1"/>
      <c r="I23" s="1" t="s">
        <v>46</v>
      </c>
      <c r="J23" s="1">
        <v>3.7349999999999999</v>
      </c>
      <c r="K23" s="1">
        <v>4.3140000000000001</v>
      </c>
      <c r="L23" s="2">
        <v>-18800000</v>
      </c>
      <c r="M23" s="2">
        <f>SUM(L23:L24)</f>
        <v>-39400000</v>
      </c>
      <c r="N23" s="18">
        <f>($C$14/M23)^(1/6) * 1.8</f>
        <v>2.154928176081667</v>
      </c>
      <c r="O23" s="16" t="str">
        <f>IF(N23&lt;=2.5, "strong", IF(N23&lt;3.5, "medium", "weak"))</f>
        <v>strong</v>
      </c>
      <c r="P23" s="1">
        <v>-638543</v>
      </c>
      <c r="R23" s="42" t="s">
        <v>25</v>
      </c>
      <c r="S23" s="42">
        <v>1.696</v>
      </c>
      <c r="T23" s="42">
        <v>3.4169999999999998</v>
      </c>
      <c r="U23" s="43">
        <v>-15400000</v>
      </c>
      <c r="V23" s="43"/>
      <c r="W23" s="36"/>
      <c r="X23" s="37"/>
      <c r="Y23" s="42">
        <v>-1046828</v>
      </c>
      <c r="AA23" s="7" t="s">
        <v>47</v>
      </c>
      <c r="AB23" s="7">
        <v>3.4089999999999998</v>
      </c>
      <c r="AC23" s="7">
        <v>4.2960000000000003</v>
      </c>
      <c r="AD23" s="8">
        <v>-60000000</v>
      </c>
      <c r="AE23" s="2">
        <f>SUM(AD23:AD24)</f>
        <v>-125800000</v>
      </c>
      <c r="AF23" s="18">
        <f>($C$14/AE23)^(1/6) * 1.8</f>
        <v>1.7758327586493674</v>
      </c>
      <c r="AG23" s="16" t="str">
        <f>IF(AF23&lt;=2.5, "strong", IF(AF23&lt;3.5, "medium", "weak"))</f>
        <v>strong</v>
      </c>
      <c r="AH23" s="7">
        <v>-2533076</v>
      </c>
    </row>
    <row r="24" spans="3:34" x14ac:dyDescent="0.2">
      <c r="E24" s="18"/>
      <c r="F24" s="1"/>
      <c r="I24" s="1" t="s">
        <v>46</v>
      </c>
      <c r="J24" s="1">
        <v>3.734</v>
      </c>
      <c r="K24" s="1">
        <v>4.2960000000000003</v>
      </c>
      <c r="L24" s="2">
        <v>-20600000</v>
      </c>
      <c r="M24" s="2"/>
      <c r="O24" s="16"/>
      <c r="P24" s="1">
        <v>-646473</v>
      </c>
      <c r="W24" s="16"/>
      <c r="X24" s="30"/>
      <c r="AA24" s="7" t="s">
        <v>47</v>
      </c>
      <c r="AB24" s="7">
        <v>3.407</v>
      </c>
      <c r="AC24" s="7">
        <v>4.3140000000000001</v>
      </c>
      <c r="AD24" s="8">
        <v>-65800000</v>
      </c>
      <c r="AE24" s="8"/>
      <c r="AG24" s="16"/>
      <c r="AH24" s="7">
        <v>-2772116</v>
      </c>
    </row>
    <row r="25" spans="3:34" x14ac:dyDescent="0.2">
      <c r="E25" s="18"/>
      <c r="F25" s="1"/>
      <c r="R25" s="4" t="s">
        <v>35</v>
      </c>
      <c r="S25" s="4">
        <v>3.4660000000000002</v>
      </c>
      <c r="T25" s="4">
        <v>6.1449999999999996</v>
      </c>
      <c r="U25" s="5">
        <v>-1980000</v>
      </c>
      <c r="V25" s="5"/>
      <c r="W25" s="18">
        <f>($C$14/U25)^(1/6) * 1.8</f>
        <v>3.547354883907718</v>
      </c>
      <c r="X25" s="16" t="str">
        <f>IF(W25&lt;=2.5, "strong", IF(W25&lt;3.5, "medium", "weak"))</f>
        <v>weak</v>
      </c>
      <c r="Y25" s="4">
        <v>-72494</v>
      </c>
      <c r="AF25" s="30"/>
      <c r="AG25" s="30"/>
    </row>
    <row r="26" spans="3:34" x14ac:dyDescent="0.2">
      <c r="E26" s="18"/>
      <c r="F26" s="1"/>
      <c r="R26" s="4" t="s">
        <v>63</v>
      </c>
      <c r="S26" s="4">
        <v>3.464</v>
      </c>
      <c r="T26" s="4">
        <v>8.26</v>
      </c>
      <c r="U26" s="5">
        <v>-547000</v>
      </c>
      <c r="V26" s="5"/>
      <c r="W26" s="18">
        <f>($C$14/U26)^(1/6) * 1.8</f>
        <v>4.3955944421595792</v>
      </c>
      <c r="X26" s="16" t="str">
        <f>IF(W26&lt;=2.5, "strong", IF(W26&lt;3.5, "medium", "weak"))</f>
        <v>weak</v>
      </c>
      <c r="Y26" s="4">
        <v>-12140</v>
      </c>
      <c r="AA26" s="6" t="s">
        <v>48</v>
      </c>
      <c r="AB26" s="7">
        <v>1.542</v>
      </c>
      <c r="AC26" s="7">
        <v>6.1289999999999996</v>
      </c>
      <c r="AD26" s="8">
        <v>-43500000</v>
      </c>
      <c r="AE26" s="8"/>
      <c r="AF26" s="18">
        <f>($C$14/AD26)^(1/6) * 1.8</f>
        <v>2.1196653174008659</v>
      </c>
      <c r="AG26" s="16" t="str">
        <f>IF(AF26&lt;=2.5, "strong", IF(AF26&lt;3.5, "medium", "weak"))</f>
        <v>strong</v>
      </c>
      <c r="AH26" s="7">
        <v>-956241</v>
      </c>
    </row>
    <row r="27" spans="3:34" x14ac:dyDescent="0.2">
      <c r="E27" s="18"/>
      <c r="F27" s="1"/>
      <c r="R27" s="4" t="s">
        <v>64</v>
      </c>
      <c r="S27" s="4">
        <v>3.734</v>
      </c>
      <c r="T27" s="4">
        <v>8.26</v>
      </c>
      <c r="U27" s="5">
        <v>-671000</v>
      </c>
      <c r="V27" s="5"/>
      <c r="W27" s="18">
        <f>($C$14/U27)^(1/6) * 1.8</f>
        <v>4.2484295078872636</v>
      </c>
      <c r="X27" s="16" t="str">
        <f>IF(W27&lt;=2.5, "strong", IF(W27&lt;3.5, "medium", "weak"))</f>
        <v>weak</v>
      </c>
      <c r="Y27" s="4">
        <v>-15591</v>
      </c>
      <c r="AA27" s="7" t="s">
        <v>49</v>
      </c>
      <c r="AB27" s="7">
        <v>3.4590000000000001</v>
      </c>
      <c r="AC27" s="7">
        <v>3.7240000000000002</v>
      </c>
      <c r="AD27" s="32">
        <v>-45800000</v>
      </c>
      <c r="AE27" s="2">
        <f>SUM(AD27:AD28)</f>
        <v>-116000000</v>
      </c>
      <c r="AF27" s="18">
        <f>($C$14/AE27)^(1/6) * 1.8</f>
        <v>1.8</v>
      </c>
      <c r="AG27" s="16" t="str">
        <f>IF(AF27&lt;=2.5, "strong", IF(AF27&lt;3.5, "medium", "weak"))</f>
        <v>strong</v>
      </c>
      <c r="AH27" s="7">
        <v>-1720671</v>
      </c>
    </row>
    <row r="28" spans="3:34" x14ac:dyDescent="0.2">
      <c r="E28" s="18"/>
      <c r="F28" s="1"/>
      <c r="AA28" s="7" t="s">
        <v>49</v>
      </c>
      <c r="AB28" s="7">
        <v>3.456</v>
      </c>
      <c r="AC28" s="7">
        <v>3.7450000000000001</v>
      </c>
      <c r="AD28" s="32">
        <v>-70200000</v>
      </c>
      <c r="AE28" s="8"/>
      <c r="AG28" s="16"/>
      <c r="AH28" s="7">
        <v>-3287001</v>
      </c>
    </row>
    <row r="30" spans="3:34" x14ac:dyDescent="0.2">
      <c r="AD30" s="2"/>
    </row>
  </sheetData>
  <phoneticPr fontId="12" type="noConversion"/>
  <conditionalFormatting sqref="E2:E7">
    <cfRule type="colorScale" priority="50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F1">
    <cfRule type="colorScale" priority="63">
      <colorScale>
        <cfvo type="num" val="0.3"/>
        <cfvo type="num" val="0.55000000000000004"/>
        <cfvo type="num" val="0.8"/>
        <color rgb="FFFFC000"/>
        <color rgb="FF92D050"/>
        <color theme="7" tint="0.79998168889431442"/>
      </colorScale>
    </cfRule>
    <cfRule type="colorScale" priority="62">
      <colorScale>
        <cfvo type="num" val="0.3"/>
        <cfvo type="num" val="0.55000000000000004"/>
        <cfvo type="num" val="0.8"/>
        <color rgb="FFFFFF00"/>
        <color rgb="FFFFC000"/>
        <color rgb="FFC00000"/>
      </colorScale>
    </cfRule>
  </conditionalFormatting>
  <conditionalFormatting sqref="F2:F3 F5:F7">
    <cfRule type="colorScale" priority="17">
      <colorScale>
        <cfvo type="num" val="0.3"/>
        <cfvo type="num" val="0.55000000000000004"/>
        <cfvo type="num" val="0.8"/>
        <color rgb="FFFFC000"/>
        <color rgb="FF92D050"/>
        <color theme="7" tint="0.79998168889431442"/>
      </colorScale>
    </cfRule>
    <cfRule type="colorScale" priority="16">
      <colorScale>
        <cfvo type="num" val="0.3"/>
        <cfvo type="num" val="0.55000000000000004"/>
        <cfvo type="num" val="0.8"/>
        <color rgb="FFFFFF00"/>
        <color rgb="FFFFC000"/>
        <color rgb="FFC00000"/>
      </colorScale>
    </cfRule>
  </conditionalFormatting>
  <conditionalFormatting sqref="I1:I1048576 R1:R1048576 AA1:AA1048576">
    <cfRule type="duplicateValues" dxfId="1" priority="14"/>
  </conditionalFormatting>
  <conditionalFormatting sqref="N1">
    <cfRule type="colorScale" priority="74">
      <colorScale>
        <cfvo type="num" val="0.3"/>
        <cfvo type="num" val="0.55000000000000004"/>
        <cfvo type="num" val="0.8"/>
        <color rgb="FFFFFF00"/>
        <color rgb="FFFFC000"/>
        <color rgb="FFC00000"/>
      </colorScale>
    </cfRule>
    <cfRule type="colorScale" priority="75">
      <colorScale>
        <cfvo type="num" val="0.3"/>
        <cfvo type="num" val="0.55000000000000004"/>
        <cfvo type="num" val="0.8"/>
        <color rgb="FFC00000"/>
        <color rgb="FFFFC000"/>
        <color rgb="FFFFFF00"/>
      </colorScale>
    </cfRule>
    <cfRule type="colorScale" priority="76">
      <colorScale>
        <cfvo type="num" val="0.3"/>
        <cfvo type="num" val="0.55000000000000004"/>
        <cfvo type="num" val="0.8"/>
        <color rgb="FFC00000"/>
        <color rgb="FFFFC000"/>
        <color rgb="FFFFFF00"/>
      </colorScale>
    </cfRule>
  </conditionalFormatting>
  <conditionalFormatting sqref="N2:N24">
    <cfRule type="colorScale" priority="40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O1">
    <cfRule type="colorScale" priority="61">
      <colorScale>
        <cfvo type="num" val="0.3"/>
        <cfvo type="num" val="0.55000000000000004"/>
        <cfvo type="num" val="0.8"/>
        <color rgb="FFFFC000"/>
        <color rgb="FF92D050"/>
        <color theme="7" tint="0.79998168889431442"/>
      </colorScale>
    </cfRule>
    <cfRule type="colorScale" priority="60">
      <colorScale>
        <cfvo type="num" val="0.3"/>
        <cfvo type="num" val="0.55000000000000004"/>
        <cfvo type="num" val="0.8"/>
        <color rgb="FFFFFF00"/>
        <color rgb="FFFFC000"/>
        <color rgb="FFC00000"/>
      </colorScale>
    </cfRule>
  </conditionalFormatting>
  <conditionalFormatting sqref="O2:O5 O7:O8 O10:O11 O13:O14 O16:O19 O21:O24">
    <cfRule type="colorScale" priority="18">
      <colorScale>
        <cfvo type="num" val="0.3"/>
        <cfvo type="num" val="0.55000000000000004"/>
        <cfvo type="num" val="0.8"/>
        <color rgb="FFFFFF00"/>
        <color rgb="FFFFC000"/>
        <color rgb="FFC00000"/>
      </colorScale>
    </cfRule>
    <cfRule type="colorScale" priority="19">
      <colorScale>
        <cfvo type="num" val="0.3"/>
        <cfvo type="num" val="0.55000000000000004"/>
        <cfvo type="num" val="0.8"/>
        <color rgb="FFFFC000"/>
        <color rgb="FF92D050"/>
        <color theme="7" tint="0.79998168889431442"/>
      </colorScale>
    </cfRule>
  </conditionalFormatting>
  <conditionalFormatting sqref="W1">
    <cfRule type="colorScale" priority="71">
      <colorScale>
        <cfvo type="num" val="0.3"/>
        <cfvo type="num" val="0.55000000000000004"/>
        <cfvo type="num" val="0.8"/>
        <color rgb="FFFFFF00"/>
        <color rgb="FFFFC000"/>
        <color rgb="FFC00000"/>
      </colorScale>
    </cfRule>
    <cfRule type="colorScale" priority="72">
      <colorScale>
        <cfvo type="num" val="0.3"/>
        <cfvo type="num" val="0.55000000000000004"/>
        <cfvo type="num" val="0.8"/>
        <color rgb="FFC00000"/>
        <color rgb="FFFFC000"/>
        <color rgb="FFFFFF00"/>
      </colorScale>
    </cfRule>
    <cfRule type="colorScale" priority="73">
      <colorScale>
        <cfvo type="num" val="0.3"/>
        <cfvo type="num" val="0.55000000000000004"/>
        <cfvo type="num" val="0.8"/>
        <color rgb="FFC00000"/>
        <color rgb="FFFFC000"/>
        <color rgb="FFFFFF00"/>
      </colorScale>
    </cfRule>
  </conditionalFormatting>
  <conditionalFormatting sqref="W2:W3 W5:W7 W9:W11 W13:W15 W17 W19:W21 W23:W27">
    <cfRule type="colorScale" priority="28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W4">
    <cfRule type="colorScale" priority="13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W8">
    <cfRule type="colorScale" priority="12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W12">
    <cfRule type="colorScale" priority="11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W16">
    <cfRule type="colorScale" priority="10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W18">
    <cfRule type="colorScale" priority="9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W22">
    <cfRule type="colorScale" priority="8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X1">
    <cfRule type="colorScale" priority="59">
      <colorScale>
        <cfvo type="num" val="0.3"/>
        <cfvo type="num" val="0.55000000000000004"/>
        <cfvo type="num" val="0.8"/>
        <color rgb="FFFFC000"/>
        <color rgb="FF92D050"/>
        <color theme="7" tint="0.79998168889431442"/>
      </colorScale>
    </cfRule>
    <cfRule type="colorScale" priority="58">
      <colorScale>
        <cfvo type="num" val="0.3"/>
        <cfvo type="num" val="0.55000000000000004"/>
        <cfvo type="num" val="0.8"/>
        <color rgb="FFFFFF00"/>
        <color rgb="FFFFC000"/>
        <color rgb="FFC00000"/>
      </colorScale>
    </cfRule>
  </conditionalFormatting>
  <conditionalFormatting sqref="X4:X6 X2 X8:X10 X12:X14 X16:X20 X22:X23 X25:X27">
    <cfRule type="colorScale" priority="24">
      <colorScale>
        <cfvo type="num" val="0.3"/>
        <cfvo type="num" val="0.55000000000000004"/>
        <cfvo type="num" val="0.8"/>
        <color rgb="FFFFFF00"/>
        <color rgb="FFFFC000"/>
        <color rgb="FFC00000"/>
      </colorScale>
    </cfRule>
    <cfRule type="colorScale" priority="25">
      <colorScale>
        <cfvo type="num" val="0.3"/>
        <cfvo type="num" val="0.55000000000000004"/>
        <cfvo type="num" val="0.8"/>
        <color rgb="FFFFC000"/>
        <color rgb="FF92D050"/>
        <color theme="7" tint="0.79998168889431442"/>
      </colorScale>
    </cfRule>
  </conditionalFormatting>
  <conditionalFormatting sqref="AF1">
    <cfRule type="colorScale" priority="68">
      <colorScale>
        <cfvo type="num" val="0.3"/>
        <cfvo type="num" val="0.55000000000000004"/>
        <cfvo type="num" val="0.8"/>
        <color rgb="FFFFFF00"/>
        <color rgb="FFFFC000"/>
        <color rgb="FFC00000"/>
      </colorScale>
    </cfRule>
    <cfRule type="colorScale" priority="69">
      <colorScale>
        <cfvo type="num" val="0.3"/>
        <cfvo type="num" val="0.55000000000000004"/>
        <cfvo type="num" val="0.8"/>
        <color rgb="FFC00000"/>
        <color rgb="FFFFC000"/>
        <color rgb="FFFFFF00"/>
      </colorScale>
    </cfRule>
    <cfRule type="colorScale" priority="70">
      <colorScale>
        <cfvo type="num" val="0.3"/>
        <cfvo type="num" val="0.55000000000000004"/>
        <cfvo type="num" val="0.8"/>
        <color rgb="FFC00000"/>
        <color rgb="FFFFC000"/>
        <color rgb="FFFFFF00"/>
      </colorScale>
    </cfRule>
  </conditionalFormatting>
  <conditionalFormatting sqref="AF3">
    <cfRule type="colorScale" priority="7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F6 AF2 AF10 AF14 AF18 AF22 AF26 AF4 AF8 AF12 AF16 AF20 AF24 AF28">
    <cfRule type="colorScale" priority="15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F7">
    <cfRule type="colorScale" priority="6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F11">
    <cfRule type="colorScale" priority="5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F15">
    <cfRule type="colorScale" priority="4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F19">
    <cfRule type="colorScale" priority="3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F23">
    <cfRule type="colorScale" priority="2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F27">
    <cfRule type="colorScale" priority="1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G1">
    <cfRule type="colorScale" priority="57">
      <colorScale>
        <cfvo type="num" val="0.3"/>
        <cfvo type="num" val="0.55000000000000004"/>
        <cfvo type="num" val="0.8"/>
        <color rgb="FFFFC000"/>
        <color rgb="FF92D050"/>
        <color theme="7" tint="0.79998168889431442"/>
      </colorScale>
    </cfRule>
    <cfRule type="colorScale" priority="56">
      <colorScale>
        <cfvo type="num" val="0.3"/>
        <cfvo type="num" val="0.55000000000000004"/>
        <cfvo type="num" val="0.8"/>
        <color rgb="FFFFFF00"/>
        <color rgb="FFFFC000"/>
        <color rgb="FFC00000"/>
      </colorScale>
    </cfRule>
  </conditionalFormatting>
  <conditionalFormatting sqref="AG2:AG4 AG6:AG8 AG10:AG12 AG14:AG16 AG18:AG20 AG22:AG24 AG26:AG28">
    <cfRule type="colorScale" priority="21">
      <colorScale>
        <cfvo type="num" val="0.3"/>
        <cfvo type="num" val="0.55000000000000004"/>
        <cfvo type="num" val="0.8"/>
        <color rgb="FFFFC000"/>
        <color rgb="FF92D050"/>
        <color theme="7" tint="0.79998168889431442"/>
      </colorScale>
    </cfRule>
    <cfRule type="colorScale" priority="20">
      <colorScale>
        <cfvo type="num" val="0.3"/>
        <cfvo type="num" val="0.55000000000000004"/>
        <cfvo type="num" val="0.8"/>
        <color rgb="FFFFFF00"/>
        <color rgb="FFFFC000"/>
        <color rgb="FFC00000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D3380-A262-A14A-869B-6EB4DE39945B}">
  <dimension ref="A1:AL47"/>
  <sheetViews>
    <sheetView tabSelected="1" zoomScale="150" zoomScaleNormal="100" workbookViewId="0">
      <selection activeCell="A5" sqref="A5:XFD5"/>
    </sheetView>
  </sheetViews>
  <sheetFormatPr baseColWidth="10" defaultColWidth="8.83203125" defaultRowHeight="16" x14ac:dyDescent="0.2"/>
  <cols>
    <col min="1" max="1" width="11.6640625" style="1" bestFit="1" customWidth="1"/>
    <col min="2" max="2" width="9.83203125" style="1" bestFit="1" customWidth="1"/>
    <col min="3" max="3" width="15.5" style="1" bestFit="1" customWidth="1"/>
    <col min="4" max="4" width="10.33203125" style="1" bestFit="1" customWidth="1"/>
    <col min="5" max="5" width="10.33203125" style="1" customWidth="1"/>
    <col min="6" max="6" width="8.5" style="19" bestFit="1" customWidth="1"/>
    <col min="9" max="9" width="13.83203125" style="1" bestFit="1" customWidth="1"/>
    <col min="10" max="11" width="6.33203125" style="1" bestFit="1" customWidth="1"/>
    <col min="12" max="12" width="10.33203125" style="1" bestFit="1" customWidth="1"/>
    <col min="13" max="13" width="10.33203125" style="1" customWidth="1"/>
    <col min="14" max="14" width="8.33203125" style="19" bestFit="1" customWidth="1"/>
    <col min="17" max="17" width="14" style="1" customWidth="1"/>
    <col min="18" max="19" width="6.33203125" style="1" bestFit="1" customWidth="1"/>
    <col min="20" max="20" width="9.83203125" style="1" bestFit="1" customWidth="1"/>
    <col min="21" max="21" width="9.83203125" style="1" customWidth="1"/>
    <col min="22" max="22" width="8.83203125" style="18"/>
    <col min="25" max="25" width="10.83203125" style="1" bestFit="1" customWidth="1"/>
    <col min="26" max="27" width="6.33203125" style="1" bestFit="1" customWidth="1"/>
    <col min="28" max="28" width="10.33203125" style="1" bestFit="1" customWidth="1"/>
    <col min="29" max="29" width="10.33203125" style="1" customWidth="1"/>
    <col min="30" max="30" width="8.83203125" style="18"/>
    <col min="39" max="16384" width="8.83203125" style="1"/>
  </cols>
  <sheetData>
    <row r="1" spans="1:38" x14ac:dyDescent="0.2">
      <c r="A1" s="1" t="s">
        <v>102</v>
      </c>
      <c r="B1" s="1" t="s">
        <v>1</v>
      </c>
      <c r="C1" s="1" t="s">
        <v>2</v>
      </c>
      <c r="D1" s="1" t="s">
        <v>103</v>
      </c>
      <c r="F1" s="16" t="s">
        <v>4</v>
      </c>
      <c r="G1" s="22" t="s">
        <v>107</v>
      </c>
      <c r="H1" s="22"/>
      <c r="I1" s="1" t="s">
        <v>65</v>
      </c>
      <c r="J1" s="1" t="s">
        <v>66</v>
      </c>
      <c r="K1" s="1" t="s">
        <v>67</v>
      </c>
      <c r="L1" s="1" t="s">
        <v>3</v>
      </c>
      <c r="M1" s="1" t="s">
        <v>116</v>
      </c>
      <c r="N1" s="16" t="s">
        <v>4</v>
      </c>
      <c r="O1" s="22" t="s">
        <v>107</v>
      </c>
      <c r="P1" s="1"/>
      <c r="Q1" s="1" t="s">
        <v>7</v>
      </c>
      <c r="R1" s="1" t="s">
        <v>66</v>
      </c>
      <c r="S1" s="1" t="s">
        <v>67</v>
      </c>
      <c r="T1" s="1" t="s">
        <v>3</v>
      </c>
      <c r="U1" s="1" t="s">
        <v>116</v>
      </c>
      <c r="V1" s="16" t="s">
        <v>4</v>
      </c>
      <c r="W1" s="22" t="s">
        <v>107</v>
      </c>
      <c r="X1" s="1"/>
      <c r="Y1" s="1" t="s">
        <v>68</v>
      </c>
      <c r="Z1" s="1" t="s">
        <v>66</v>
      </c>
      <c r="AA1" s="1" t="s">
        <v>67</v>
      </c>
      <c r="AB1" s="1" t="s">
        <v>3</v>
      </c>
      <c r="AC1" s="1" t="s">
        <v>116</v>
      </c>
      <c r="AD1" s="16" t="s">
        <v>4</v>
      </c>
      <c r="AE1" s="22" t="s">
        <v>107</v>
      </c>
      <c r="AF1" s="1"/>
      <c r="AG1" s="1"/>
      <c r="AH1" s="1"/>
      <c r="AI1" s="1"/>
      <c r="AJ1" s="1"/>
      <c r="AK1" s="1"/>
      <c r="AL1" s="1"/>
    </row>
    <row r="2" spans="1:38" x14ac:dyDescent="0.2">
      <c r="A2" s="1" t="s">
        <v>98</v>
      </c>
      <c r="B2" s="1">
        <v>3.351</v>
      </c>
      <c r="C2" s="1">
        <v>4.5380000000000003</v>
      </c>
      <c r="D2" s="2">
        <v>-95400</v>
      </c>
      <c r="E2" s="2"/>
      <c r="F2" s="18">
        <f t="shared" ref="F2:F10" si="0">($B$23/D2)^(1/6) * 1.8</f>
        <v>2.4240030040821896</v>
      </c>
      <c r="G2" s="16" t="str">
        <f t="shared" ref="G2:G10" si="1">IF(F2&lt;=2.5, "strong", IF(F2&lt;3.5, "medium", "weak"))</f>
        <v>strong</v>
      </c>
      <c r="H2" s="16"/>
      <c r="I2" s="1" t="s">
        <v>69</v>
      </c>
      <c r="J2" s="1">
        <v>3.7610000000000001</v>
      </c>
      <c r="K2" s="1">
        <v>4.6840000000000002</v>
      </c>
      <c r="L2" s="2">
        <v>-28200</v>
      </c>
      <c r="M2" s="2"/>
      <c r="N2" s="18">
        <f>($B$23/L2)^(1/6) * 1.8</f>
        <v>2.969953831068981</v>
      </c>
      <c r="O2" s="16" t="str">
        <f>IF(N2&lt;=2.5, "strong", IF(N2&lt;3.5, "medium", "weak"))</f>
        <v>medium</v>
      </c>
      <c r="P2" s="1"/>
      <c r="Q2" s="1" t="s">
        <v>70</v>
      </c>
      <c r="R2" s="1">
        <v>2.032</v>
      </c>
      <c r="S2" s="1">
        <v>3.7589999999999999</v>
      </c>
      <c r="T2" s="2">
        <v>-48700</v>
      </c>
      <c r="U2" s="2"/>
      <c r="V2" s="18">
        <f>($B$23/T2)^(1/6) * 1.8</f>
        <v>2.7114590881376404</v>
      </c>
      <c r="W2" s="16" t="str">
        <f>IF(V2&gt;=0.8, "strong", IF(V2&gt;0.3, "medium", "weak"))</f>
        <v>strong</v>
      </c>
      <c r="X2" s="1"/>
      <c r="Y2" s="1" t="s">
        <v>12</v>
      </c>
      <c r="Z2" s="1">
        <v>2.0310000000000001</v>
      </c>
      <c r="AA2" s="1">
        <v>5</v>
      </c>
      <c r="AB2" s="2">
        <v>-165000</v>
      </c>
      <c r="AC2" s="2"/>
      <c r="AD2" s="18">
        <f>($B$23/AB2)^(1/6) * 1.8</f>
        <v>2.2124691587905079</v>
      </c>
      <c r="AE2" s="16" t="str">
        <f>IF(AD2&gt;=0.8, "strong", IF(AD2&gt;0.3, "medium", "weak"))</f>
        <v>strong</v>
      </c>
      <c r="AF2" s="1"/>
      <c r="AG2" s="1"/>
      <c r="AH2" s="1"/>
      <c r="AI2" s="1"/>
      <c r="AJ2" s="1"/>
      <c r="AK2" s="1"/>
      <c r="AL2" s="1"/>
    </row>
    <row r="3" spans="1:38" x14ac:dyDescent="0.2">
      <c r="A3" s="1" t="s">
        <v>97</v>
      </c>
      <c r="B3" s="1">
        <v>3.5339999999999998</v>
      </c>
      <c r="C3" s="1">
        <v>4.9980000000000002</v>
      </c>
      <c r="D3" s="2">
        <v>-66700</v>
      </c>
      <c r="E3" s="2"/>
      <c r="F3" s="18">
        <f t="shared" si="0"/>
        <v>2.572982962859641</v>
      </c>
      <c r="G3" s="16" t="str">
        <f t="shared" si="1"/>
        <v>medium</v>
      </c>
      <c r="H3" s="22"/>
      <c r="N3" s="16"/>
      <c r="O3" s="1"/>
      <c r="P3" s="1"/>
      <c r="Q3" s="1" t="s">
        <v>71</v>
      </c>
      <c r="R3" s="1">
        <v>2.032</v>
      </c>
      <c r="S3" s="1">
        <v>4.53</v>
      </c>
      <c r="T3" s="2">
        <v>-68900</v>
      </c>
      <c r="U3" s="2"/>
      <c r="V3" s="18">
        <f>($B$23/T3)^(1/6) * 1.8</f>
        <v>2.5591044530281462</v>
      </c>
      <c r="W3" s="16" t="str">
        <f t="shared" ref="W3:W34" si="2">IF(V3&gt;=0.8, "strong", IF(V3&gt;0.3, "medium", "weak"))</f>
        <v>strong</v>
      </c>
      <c r="X3" s="1"/>
      <c r="Y3" s="1" t="s">
        <v>15</v>
      </c>
      <c r="Z3" s="1">
        <v>3.758</v>
      </c>
      <c r="AA3" s="1">
        <v>4.524</v>
      </c>
      <c r="AB3" s="2">
        <v>-338000</v>
      </c>
      <c r="AC3" s="2">
        <f>AB3+AB4</f>
        <v>-543000</v>
      </c>
      <c r="AD3" s="18">
        <f>($B$23/AC3)^(1/6) * 1.8</f>
        <v>1.8140861650652997</v>
      </c>
      <c r="AE3" s="16" t="str">
        <f t="shared" ref="AE3:AE42" si="3">IF(AD3&gt;=0.8, "strong", IF(AD3&gt;0.3, "medium", "weak"))</f>
        <v>strong</v>
      </c>
      <c r="AF3" s="1"/>
      <c r="AG3" s="1"/>
      <c r="AH3" s="1"/>
      <c r="AI3" s="1"/>
      <c r="AJ3" s="1"/>
      <c r="AK3" s="1"/>
      <c r="AL3" s="1"/>
    </row>
    <row r="4" spans="1:38" x14ac:dyDescent="0.2">
      <c r="A4" s="1" t="s">
        <v>99</v>
      </c>
      <c r="B4" s="1">
        <v>1.5469999999999999</v>
      </c>
      <c r="C4" s="1">
        <v>2.032</v>
      </c>
      <c r="D4" s="2">
        <v>-58000</v>
      </c>
      <c r="E4" s="2"/>
      <c r="F4" s="18">
        <f t="shared" si="0"/>
        <v>2.6336206404770972</v>
      </c>
      <c r="G4" s="16" t="str">
        <f t="shared" si="1"/>
        <v>medium</v>
      </c>
      <c r="H4" s="16"/>
      <c r="I4" s="1" t="s">
        <v>72</v>
      </c>
      <c r="J4" s="1">
        <v>3.6219999999999999</v>
      </c>
      <c r="K4" s="1">
        <v>4.0590000000000002</v>
      </c>
      <c r="L4" s="2">
        <v>-63800</v>
      </c>
      <c r="M4" s="2">
        <f>L4+L5</f>
        <v>-126200</v>
      </c>
      <c r="N4" s="18">
        <f>($B$23/M4)^(1/6) * 1.8</f>
        <v>2.3135629655518977</v>
      </c>
      <c r="O4" s="16" t="str">
        <f>IF(N4&lt;=2.5, "strong", IF(N4&lt;3.5, "medium", "weak"))</f>
        <v>strong</v>
      </c>
      <c r="P4" s="1"/>
      <c r="Q4" s="1" t="s">
        <v>50</v>
      </c>
      <c r="R4" s="1">
        <v>3.758</v>
      </c>
      <c r="S4" s="1">
        <v>5</v>
      </c>
      <c r="T4" s="2">
        <v>-56600</v>
      </c>
      <c r="U4" s="2"/>
      <c r="V4" s="18">
        <f>($B$23/T4)^(1/6) * 1.8</f>
        <v>2.6443675002884457</v>
      </c>
      <c r="W4" s="16" t="str">
        <f t="shared" si="2"/>
        <v>strong</v>
      </c>
      <c r="X4" s="1"/>
      <c r="Y4" s="1" t="s">
        <v>15</v>
      </c>
      <c r="Z4" s="1">
        <v>3.754</v>
      </c>
      <c r="AA4" s="1">
        <v>4.5430000000000001</v>
      </c>
      <c r="AB4" s="2">
        <v>-205000</v>
      </c>
      <c r="AC4" s="2"/>
      <c r="AE4" s="16"/>
      <c r="AF4" s="1"/>
      <c r="AG4" s="1"/>
      <c r="AH4" s="1"/>
      <c r="AI4" s="1"/>
      <c r="AJ4" s="1"/>
      <c r="AK4" s="1"/>
      <c r="AL4" s="1"/>
    </row>
    <row r="5" spans="1:38" x14ac:dyDescent="0.2">
      <c r="A5" s="1" t="s">
        <v>100</v>
      </c>
      <c r="B5" s="1">
        <v>1.823</v>
      </c>
      <c r="C5" s="1">
        <v>2.0350000000000001</v>
      </c>
      <c r="D5" s="2">
        <v>-32800</v>
      </c>
      <c r="E5" s="2"/>
      <c r="F5" s="18">
        <f t="shared" si="0"/>
        <v>2.8960912548843107</v>
      </c>
      <c r="G5" s="16" t="str">
        <f t="shared" si="1"/>
        <v>medium</v>
      </c>
      <c r="H5" s="22"/>
      <c r="I5" s="1" t="s">
        <v>72</v>
      </c>
      <c r="J5" s="1">
        <v>3.6219999999999999</v>
      </c>
      <c r="K5" s="1">
        <v>4.032</v>
      </c>
      <c r="L5" s="2">
        <v>-62400</v>
      </c>
      <c r="M5" s="2"/>
      <c r="N5" s="18"/>
      <c r="O5" s="16"/>
      <c r="P5" s="1"/>
      <c r="V5" s="23"/>
      <c r="W5" s="1"/>
      <c r="X5" s="1"/>
      <c r="AD5" s="23"/>
      <c r="AE5" s="1"/>
      <c r="AF5" s="1"/>
      <c r="AG5" s="1"/>
      <c r="AH5" s="1"/>
      <c r="AI5" s="1"/>
      <c r="AJ5" s="1"/>
      <c r="AK5" s="1"/>
      <c r="AL5" s="1"/>
    </row>
    <row r="6" spans="1:38" x14ac:dyDescent="0.2">
      <c r="A6" s="1" t="s">
        <v>101</v>
      </c>
      <c r="B6" s="1">
        <v>1.3859999999999999</v>
      </c>
      <c r="C6" s="1">
        <v>3.7589999999999999</v>
      </c>
      <c r="D6" s="2">
        <v>-26100</v>
      </c>
      <c r="E6" s="2"/>
      <c r="F6" s="18">
        <f t="shared" si="0"/>
        <v>3.0085077294184357</v>
      </c>
      <c r="G6" s="16" t="str">
        <f t="shared" si="1"/>
        <v>medium</v>
      </c>
      <c r="H6" s="16"/>
      <c r="I6" s="1" t="s">
        <v>18</v>
      </c>
      <c r="J6" s="1">
        <v>4.0410000000000004</v>
      </c>
      <c r="K6" s="1">
        <v>4.6859999999999999</v>
      </c>
      <c r="L6" s="2">
        <v>-23800</v>
      </c>
      <c r="M6" s="2">
        <f>L6+L7</f>
        <v>-41200</v>
      </c>
      <c r="N6" s="18">
        <f>($B$23/M6)^(1/6) * 1.8</f>
        <v>2.7881000026110163</v>
      </c>
      <c r="O6" s="16" t="str">
        <f>IF(N6&lt;=2.5, "strong", IF(N6&lt;3.5, "medium", "weak"))</f>
        <v>medium</v>
      </c>
      <c r="P6" s="1"/>
      <c r="Q6" s="1" t="s">
        <v>11</v>
      </c>
      <c r="R6" s="1">
        <v>1.073</v>
      </c>
      <c r="S6" s="1">
        <v>3.6320000000000001</v>
      </c>
      <c r="T6" s="2">
        <v>-453000</v>
      </c>
      <c r="U6" s="2"/>
      <c r="V6" s="18">
        <f>($B$23/T6)^(1/6) * 1.8</f>
        <v>1.8697125759316366</v>
      </c>
      <c r="W6" s="16" t="str">
        <f t="shared" si="2"/>
        <v>strong</v>
      </c>
      <c r="X6" s="1"/>
      <c r="Y6" s="1" t="s">
        <v>20</v>
      </c>
      <c r="Z6" s="1">
        <v>1.0740000000000001</v>
      </c>
      <c r="AA6" s="1">
        <v>5.9779999999999998</v>
      </c>
      <c r="AB6" s="2">
        <v>-162000</v>
      </c>
      <c r="AC6" s="2"/>
      <c r="AD6" s="18">
        <f>($B$23/AB6)^(1/6) * 1.8</f>
        <v>2.2192456659972155</v>
      </c>
      <c r="AE6" s="16" t="str">
        <f t="shared" si="3"/>
        <v>strong</v>
      </c>
      <c r="AF6" s="1"/>
      <c r="AG6" s="1"/>
      <c r="AH6" s="1"/>
      <c r="AI6" s="1"/>
      <c r="AJ6" s="1"/>
      <c r="AK6" s="1"/>
      <c r="AL6" s="1"/>
    </row>
    <row r="7" spans="1:38" ht="19" x14ac:dyDescent="0.2">
      <c r="A7" s="1" t="s">
        <v>117</v>
      </c>
      <c r="B7" s="1">
        <v>5.1269999999999998</v>
      </c>
      <c r="C7" s="1">
        <v>8.4179999999999993</v>
      </c>
      <c r="D7" s="2">
        <v>-20600</v>
      </c>
      <c r="E7" s="2"/>
      <c r="F7" s="18">
        <f t="shared" si="0"/>
        <v>3.1295364398221293</v>
      </c>
      <c r="G7" s="16" t="str">
        <f t="shared" si="1"/>
        <v>medium</v>
      </c>
      <c r="H7" s="22"/>
      <c r="I7" s="1" t="s">
        <v>18</v>
      </c>
      <c r="J7" s="1">
        <v>4.0410000000000004</v>
      </c>
      <c r="K7" s="1">
        <v>4.7060000000000004</v>
      </c>
      <c r="L7" s="2">
        <v>-17400</v>
      </c>
      <c r="M7" s="2"/>
      <c r="N7" s="18"/>
      <c r="O7" s="16"/>
      <c r="P7" s="1"/>
      <c r="V7" s="23"/>
      <c r="W7" s="1"/>
      <c r="X7" s="1"/>
      <c r="Y7" s="9" t="s">
        <v>21</v>
      </c>
      <c r="Z7" s="9">
        <v>3.62</v>
      </c>
      <c r="AA7" s="9">
        <v>4.7080000000000002</v>
      </c>
      <c r="AB7" s="10">
        <v>-402000</v>
      </c>
      <c r="AC7" s="2">
        <f>AB7+AB8</f>
        <v>-719000</v>
      </c>
      <c r="AD7" s="18">
        <f>($B$23/AC7)^(1/6) * 1.8</f>
        <v>1.731156780496103</v>
      </c>
      <c r="AE7" s="16" t="str">
        <f t="shared" si="3"/>
        <v>strong</v>
      </c>
      <c r="AF7" s="1"/>
      <c r="AG7" s="1"/>
      <c r="AH7" s="1"/>
      <c r="AI7" s="1"/>
      <c r="AJ7" s="1"/>
      <c r="AK7" s="1"/>
      <c r="AL7" s="1"/>
    </row>
    <row r="8" spans="1:38" ht="19" x14ac:dyDescent="0.2">
      <c r="A8" s="1" t="s">
        <v>118</v>
      </c>
      <c r="B8" s="1">
        <v>5.1269999999999998</v>
      </c>
      <c r="C8" s="1">
        <v>8.6029999999999998</v>
      </c>
      <c r="D8" s="2">
        <v>-18900</v>
      </c>
      <c r="E8" s="2"/>
      <c r="F8" s="18">
        <f t="shared" si="0"/>
        <v>3.1747844816504216</v>
      </c>
      <c r="G8" s="16" t="str">
        <f t="shared" si="1"/>
        <v>medium</v>
      </c>
      <c r="H8" s="16"/>
      <c r="N8" s="16"/>
      <c r="O8" s="1"/>
      <c r="P8" s="1"/>
      <c r="Q8" s="34" t="s">
        <v>19</v>
      </c>
      <c r="R8" s="34">
        <v>1.383</v>
      </c>
      <c r="S8" s="34">
        <v>3.847</v>
      </c>
      <c r="T8" s="35">
        <v>-47100</v>
      </c>
      <c r="U8" s="35">
        <f>T8+T9</f>
        <v>-84500</v>
      </c>
      <c r="V8" s="36">
        <f>($B$23/U8)^(1/6) * 1.8</f>
        <v>2.4735181304348215</v>
      </c>
      <c r="W8" s="37" t="str">
        <f t="shared" si="2"/>
        <v>strong</v>
      </c>
      <c r="X8" s="1"/>
      <c r="Y8" s="1" t="s">
        <v>21</v>
      </c>
      <c r="Z8" s="1">
        <v>3.6219999999999999</v>
      </c>
      <c r="AA8" s="1">
        <v>4.6840000000000002</v>
      </c>
      <c r="AB8" s="2">
        <v>-317000</v>
      </c>
      <c r="AC8" s="2"/>
      <c r="AE8" s="16"/>
      <c r="AF8" s="1"/>
      <c r="AG8" s="1"/>
      <c r="AH8" s="1"/>
      <c r="AI8" s="1"/>
      <c r="AJ8" s="1"/>
      <c r="AK8" s="1"/>
      <c r="AL8" s="1"/>
    </row>
    <row r="9" spans="1:38" ht="19" x14ac:dyDescent="0.2">
      <c r="A9" s="1" t="s">
        <v>119</v>
      </c>
      <c r="B9" s="1">
        <v>4.2649999999999997</v>
      </c>
      <c r="C9" s="1">
        <v>8.6029999999999998</v>
      </c>
      <c r="D9" s="2">
        <v>-13100</v>
      </c>
      <c r="E9" s="2"/>
      <c r="F9" s="18">
        <f t="shared" si="0"/>
        <v>3.3747841460570012</v>
      </c>
      <c r="G9" s="16" t="str">
        <f t="shared" si="1"/>
        <v>medium</v>
      </c>
      <c r="H9" s="22"/>
      <c r="I9" s="34" t="s">
        <v>73</v>
      </c>
      <c r="J9" s="34">
        <v>1.486</v>
      </c>
      <c r="K9" s="34">
        <v>3.847</v>
      </c>
      <c r="L9" s="35">
        <v>-29900</v>
      </c>
      <c r="M9" s="35">
        <f>L9+L10</f>
        <v>-52400</v>
      </c>
      <c r="N9" s="36">
        <f>($B$23/M9)^(1/6) * 1.8</f>
        <v>2.6785679518082426</v>
      </c>
      <c r="O9" s="37" t="str">
        <f>IF(N9&lt;=2.5, "strong", IF(N9&lt;3.5, "medium", "weak"))</f>
        <v>medium</v>
      </c>
      <c r="P9" s="1"/>
      <c r="Q9" s="34" t="s">
        <v>19</v>
      </c>
      <c r="R9" s="34">
        <v>1.3839999999999999</v>
      </c>
      <c r="S9" s="34">
        <v>3.8239999999999998</v>
      </c>
      <c r="T9" s="35">
        <v>-37400</v>
      </c>
      <c r="U9" s="35"/>
      <c r="V9" s="36"/>
      <c r="W9" s="37"/>
      <c r="X9" s="1"/>
      <c r="AD9" s="23"/>
      <c r="AE9" s="1"/>
      <c r="AF9" s="1"/>
      <c r="AG9" s="1"/>
      <c r="AH9" s="1"/>
      <c r="AI9" s="1"/>
      <c r="AJ9" s="1"/>
      <c r="AK9" s="1"/>
      <c r="AL9" s="1"/>
    </row>
    <row r="10" spans="1:38" ht="19" x14ac:dyDescent="0.2">
      <c r="A10" s="1" t="s">
        <v>120</v>
      </c>
      <c r="B10" s="1">
        <v>4.2610000000000001</v>
      </c>
      <c r="C10" s="1">
        <v>8.4169999999999998</v>
      </c>
      <c r="D10" s="2">
        <v>-6320</v>
      </c>
      <c r="E10" s="2"/>
      <c r="F10" s="18">
        <f t="shared" si="0"/>
        <v>3.8107024258913533</v>
      </c>
      <c r="G10" s="16" t="str">
        <f t="shared" si="1"/>
        <v>weak</v>
      </c>
      <c r="H10" s="16"/>
      <c r="I10" s="34" t="s">
        <v>73</v>
      </c>
      <c r="J10" s="34">
        <v>1.486</v>
      </c>
      <c r="K10" s="34">
        <v>3.8239999999999998</v>
      </c>
      <c r="L10" s="35">
        <v>-22500</v>
      </c>
      <c r="M10" s="35"/>
      <c r="N10" s="36"/>
      <c r="O10" s="37"/>
      <c r="P10" s="1"/>
      <c r="V10" s="23"/>
      <c r="W10" s="1"/>
      <c r="X10" s="1"/>
      <c r="Y10" s="1" t="s">
        <v>26</v>
      </c>
      <c r="Z10" s="1">
        <v>1.383</v>
      </c>
      <c r="AA10" s="1">
        <v>5.6689999999999996</v>
      </c>
      <c r="AB10" s="2">
        <v>-159000</v>
      </c>
      <c r="AC10" s="2"/>
      <c r="AD10" s="18">
        <f>($B$23/AB10)^(1/6) * 1.8</f>
        <v>2.2261701857630434</v>
      </c>
      <c r="AE10" s="16" t="str">
        <f t="shared" si="3"/>
        <v>strong</v>
      </c>
      <c r="AF10" s="1"/>
      <c r="AG10" s="1"/>
      <c r="AH10" s="1"/>
      <c r="AI10" s="1"/>
      <c r="AJ10" s="1"/>
      <c r="AK10" s="1"/>
      <c r="AL10" s="1"/>
    </row>
    <row r="11" spans="1:38" x14ac:dyDescent="0.2">
      <c r="H11" s="22"/>
      <c r="I11" s="34" t="s">
        <v>74</v>
      </c>
      <c r="J11" s="34">
        <v>1.4850000000000001</v>
      </c>
      <c r="K11" s="34">
        <v>4.0609999999999999</v>
      </c>
      <c r="L11" s="35">
        <v>-10100</v>
      </c>
      <c r="M11" s="35">
        <f>L11+L12</f>
        <v>-17050</v>
      </c>
      <c r="N11" s="36">
        <f>($B$23/M11)^(1/6) * 1.8</f>
        <v>3.2297617405177959</v>
      </c>
      <c r="O11" s="37" t="str">
        <f>IF(N11&lt;=2.5, "strong", IF(N11&lt;3.5, "medium", "weak"))</f>
        <v>medium</v>
      </c>
      <c r="P11" s="1"/>
      <c r="Q11" s="34" t="s">
        <v>56</v>
      </c>
      <c r="R11" s="34">
        <v>1.486</v>
      </c>
      <c r="S11" s="34">
        <v>3.5630000000000002</v>
      </c>
      <c r="T11" s="35">
        <v>-43700</v>
      </c>
      <c r="U11" s="35">
        <f>T11+T12</f>
        <v>-92300</v>
      </c>
      <c r="V11" s="36">
        <f>($B$23/U11)^(1/6) * 1.8</f>
        <v>2.437385740271329</v>
      </c>
      <c r="W11" s="37" t="str">
        <f t="shared" si="2"/>
        <v>strong</v>
      </c>
      <c r="X11" s="1"/>
      <c r="Y11" s="1" t="s">
        <v>28</v>
      </c>
      <c r="Z11" s="1">
        <v>3.8290000000000002</v>
      </c>
      <c r="AA11" s="1">
        <v>4.0599999999999996</v>
      </c>
      <c r="AB11" s="2">
        <v>-430000</v>
      </c>
      <c r="AC11" s="2">
        <f>AB11+AB12</f>
        <v>-574000</v>
      </c>
      <c r="AD11" s="18">
        <f>($B$23/AC11)^(1/6) * 1.8</f>
        <v>1.7973772240207389</v>
      </c>
      <c r="AE11" s="16" t="str">
        <f t="shared" si="3"/>
        <v>strong</v>
      </c>
      <c r="AF11" s="1"/>
      <c r="AG11" s="1"/>
      <c r="AH11" s="1"/>
      <c r="AI11" s="1"/>
      <c r="AJ11" s="1"/>
      <c r="AK11" s="1"/>
      <c r="AL11" s="1"/>
    </row>
    <row r="12" spans="1:38" x14ac:dyDescent="0.2">
      <c r="H12" s="16"/>
      <c r="I12" s="34" t="s">
        <v>74</v>
      </c>
      <c r="J12" s="34">
        <v>1.486</v>
      </c>
      <c r="K12" s="34">
        <v>4.0330000000000004</v>
      </c>
      <c r="L12" s="35">
        <v>-6950</v>
      </c>
      <c r="M12" s="35"/>
      <c r="N12" s="36"/>
      <c r="O12" s="37"/>
      <c r="P12" s="1"/>
      <c r="Q12" s="34" t="s">
        <v>56</v>
      </c>
      <c r="R12" s="34">
        <v>1.4870000000000001</v>
      </c>
      <c r="S12" s="34">
        <v>3.5419999999999998</v>
      </c>
      <c r="T12" s="35">
        <v>-48600</v>
      </c>
      <c r="U12" s="35"/>
      <c r="V12" s="36"/>
      <c r="W12" s="37"/>
      <c r="X12" s="1"/>
      <c r="Y12" s="1" t="s">
        <v>28</v>
      </c>
      <c r="Z12" s="1">
        <v>3.83</v>
      </c>
      <c r="AA12" s="1">
        <v>4.0330000000000004</v>
      </c>
      <c r="AB12" s="2">
        <v>-144000</v>
      </c>
      <c r="AC12" s="2"/>
      <c r="AE12" s="16"/>
      <c r="AF12" s="1"/>
      <c r="AG12" s="1"/>
      <c r="AH12" s="1"/>
      <c r="AI12" s="1"/>
      <c r="AJ12" s="1"/>
      <c r="AK12" s="1"/>
      <c r="AL12" s="1"/>
    </row>
    <row r="13" spans="1:38" x14ac:dyDescent="0.2">
      <c r="H13" s="22"/>
      <c r="I13" s="1" t="s">
        <v>75</v>
      </c>
      <c r="J13" s="1">
        <v>3.8359999999999999</v>
      </c>
      <c r="K13" s="1">
        <v>4.7850000000000001</v>
      </c>
      <c r="L13" s="2">
        <v>-238000</v>
      </c>
      <c r="M13" s="2"/>
      <c r="N13" s="18">
        <f>($B$23/L13)^(1/6) * 1.8</f>
        <v>2.0814295854164406</v>
      </c>
      <c r="O13" s="16" t="str">
        <f>IF(N13&lt;=2.5, "strong", IF(N13&lt;3.5, "medium", "weak"))</f>
        <v>strong</v>
      </c>
      <c r="P13" s="1"/>
      <c r="V13" s="23"/>
      <c r="W13" s="1"/>
      <c r="X13" s="1"/>
      <c r="AD13" s="23"/>
      <c r="AE13" s="1"/>
      <c r="AF13" s="1"/>
      <c r="AG13" s="1"/>
      <c r="AH13" s="1"/>
      <c r="AI13" s="1"/>
      <c r="AJ13" s="1"/>
      <c r="AK13" s="1"/>
      <c r="AL13" s="1"/>
    </row>
    <row r="14" spans="1:38" x14ac:dyDescent="0.2">
      <c r="H14" s="16"/>
      <c r="I14" s="1" t="s">
        <v>76</v>
      </c>
      <c r="J14" s="1">
        <v>4.04</v>
      </c>
      <c r="K14" s="1">
        <v>4.7839999999999998</v>
      </c>
      <c r="L14" s="2">
        <v>-210000</v>
      </c>
      <c r="M14" s="2"/>
      <c r="N14" s="18">
        <f>($B$23/L14)^(1/6) * 1.8</f>
        <v>2.1253053414263334</v>
      </c>
      <c r="O14" s="16" t="str">
        <f>IF(N14&lt;=2.5, "strong", IF(N14&lt;3.5, "medium", "weak"))</f>
        <v>strong</v>
      </c>
      <c r="P14" s="1"/>
      <c r="Q14" s="34" t="s">
        <v>59</v>
      </c>
      <c r="R14" s="34">
        <v>1.825</v>
      </c>
      <c r="S14" s="34">
        <v>3.5430000000000001</v>
      </c>
      <c r="T14" s="35">
        <v>-66000</v>
      </c>
      <c r="U14" s="35">
        <f>T14+T15</f>
        <v>-113600</v>
      </c>
      <c r="V14" s="36">
        <f>($B$23/U14)^(1/6) * 1.8</f>
        <v>2.3544790344650308</v>
      </c>
      <c r="W14" s="37" t="str">
        <f t="shared" si="2"/>
        <v>strong</v>
      </c>
      <c r="X14" s="1"/>
      <c r="Y14" s="1" t="s">
        <v>32</v>
      </c>
      <c r="Z14" s="1">
        <v>1.4850000000000001</v>
      </c>
      <c r="AA14" s="1">
        <v>4.7830000000000004</v>
      </c>
      <c r="AB14" s="2">
        <v>-236000</v>
      </c>
      <c r="AC14" s="2"/>
      <c r="AD14" s="18">
        <f>($B$23/AB14)^(1/6) * 1.8</f>
        <v>2.0843591302483366</v>
      </c>
      <c r="AE14" s="16" t="str">
        <f t="shared" si="3"/>
        <v>strong</v>
      </c>
      <c r="AF14" s="1"/>
      <c r="AG14" s="1"/>
      <c r="AH14" s="1"/>
      <c r="AI14" s="1"/>
      <c r="AJ14" s="1"/>
      <c r="AK14" s="1"/>
      <c r="AL14" s="1"/>
    </row>
    <row r="15" spans="1:38" x14ac:dyDescent="0.2">
      <c r="H15" s="22"/>
      <c r="N15" s="16"/>
      <c r="O15" s="1"/>
      <c r="P15" s="1"/>
      <c r="Q15" s="34" t="s">
        <v>59</v>
      </c>
      <c r="R15" s="34">
        <v>1.825</v>
      </c>
      <c r="S15" s="34">
        <v>3.5219999999999998</v>
      </c>
      <c r="T15" s="35">
        <v>-47600</v>
      </c>
      <c r="U15" s="35"/>
      <c r="V15" s="36"/>
      <c r="W15" s="37"/>
      <c r="X15" s="1"/>
      <c r="Y15" s="1" t="s">
        <v>36</v>
      </c>
      <c r="Z15" s="1">
        <v>3.544</v>
      </c>
      <c r="AA15" s="1">
        <v>4.8570000000000002</v>
      </c>
      <c r="AB15" s="2">
        <v>-501000</v>
      </c>
      <c r="AC15" s="2">
        <f>AB15+AB16</f>
        <v>-925000</v>
      </c>
      <c r="AD15" s="18">
        <f>($B$23/AC15)^(1/6) * 1.8</f>
        <v>1.6599726300947066</v>
      </c>
      <c r="AE15" s="16" t="str">
        <f t="shared" si="3"/>
        <v>strong</v>
      </c>
      <c r="AF15" s="1"/>
      <c r="AG15" s="1"/>
      <c r="AH15" s="1"/>
      <c r="AI15" s="1"/>
      <c r="AJ15" s="1"/>
      <c r="AK15" s="1"/>
      <c r="AL15" s="1"/>
    </row>
    <row r="16" spans="1:38" x14ac:dyDescent="0.2">
      <c r="H16" s="16"/>
      <c r="I16" s="1" t="s">
        <v>27</v>
      </c>
      <c r="J16" s="1">
        <v>3.5489999999999999</v>
      </c>
      <c r="K16" s="1">
        <v>4.9710000000000001</v>
      </c>
      <c r="L16" s="2">
        <v>-248000</v>
      </c>
      <c r="M16" s="2"/>
      <c r="N16" s="18">
        <f>($B$23/L16)^(1/6) * 1.8</f>
        <v>2.0672005063735153</v>
      </c>
      <c r="O16" s="16" t="str">
        <f>IF(N16&lt;=2.5, "strong", IF(N16&lt;3.5, "medium", "weak"))</f>
        <v>strong</v>
      </c>
      <c r="P16" s="1"/>
      <c r="V16" s="23"/>
      <c r="W16" s="1"/>
      <c r="X16" s="1"/>
      <c r="Y16" s="1" t="s">
        <v>36</v>
      </c>
      <c r="Z16" s="1">
        <v>3.5449999999999999</v>
      </c>
      <c r="AA16" s="1">
        <v>4.875</v>
      </c>
      <c r="AB16" s="2">
        <v>-424000</v>
      </c>
      <c r="AC16" s="2"/>
      <c r="AE16" s="16"/>
      <c r="AF16" s="1"/>
      <c r="AG16" s="1"/>
      <c r="AH16" s="1"/>
      <c r="AI16" s="1"/>
      <c r="AJ16" s="1"/>
      <c r="AK16" s="1"/>
      <c r="AL16" s="1"/>
    </row>
    <row r="17" spans="2:38" x14ac:dyDescent="0.2">
      <c r="H17" s="22"/>
      <c r="N17" s="16"/>
      <c r="O17" s="1"/>
      <c r="P17" s="1"/>
      <c r="Q17" s="34" t="s">
        <v>25</v>
      </c>
      <c r="R17" s="34">
        <v>1.46</v>
      </c>
      <c r="S17" s="34">
        <v>2.944</v>
      </c>
      <c r="T17" s="35">
        <v>-54500</v>
      </c>
      <c r="U17" s="35">
        <f>T17+T18</f>
        <v>-102500</v>
      </c>
      <c r="V17" s="36">
        <f>($B$23/U17)^(1/6) * 1.8</f>
        <v>2.3951749371021269</v>
      </c>
      <c r="W17" s="37" t="str">
        <f t="shared" si="2"/>
        <v>strong</v>
      </c>
      <c r="X17" s="1"/>
      <c r="AD17" s="23"/>
      <c r="AE17" s="1"/>
      <c r="AF17" s="1"/>
      <c r="AG17" s="1"/>
      <c r="AH17" s="1"/>
      <c r="AI17" s="1"/>
      <c r="AJ17" s="1"/>
      <c r="AK17" s="1"/>
      <c r="AL17" s="1"/>
    </row>
    <row r="18" spans="2:38" x14ac:dyDescent="0.2">
      <c r="H18" s="16"/>
      <c r="I18" s="44" t="s">
        <v>41</v>
      </c>
      <c r="J18" s="44">
        <v>1.462</v>
      </c>
      <c r="K18" s="44">
        <v>3.5230000000000001</v>
      </c>
      <c r="L18" s="45">
        <v>-42700</v>
      </c>
      <c r="M18" s="45">
        <f>L18*2</f>
        <v>-85400</v>
      </c>
      <c r="N18" s="18">
        <f>($B$23/M18)^(1/6) * 1.8</f>
        <v>2.4691543422469424</v>
      </c>
      <c r="O18" s="16" t="str">
        <f>IF(N18&lt;=2.5, "strong", IF(N18&lt;3.5, "medium", "weak"))</f>
        <v>strong</v>
      </c>
      <c r="P18" s="1"/>
      <c r="Q18" s="34" t="s">
        <v>25</v>
      </c>
      <c r="R18" s="34">
        <v>1.46</v>
      </c>
      <c r="S18" s="34">
        <v>2.9649999999999999</v>
      </c>
      <c r="T18" s="35">
        <v>-48000</v>
      </c>
      <c r="U18" s="35"/>
      <c r="V18" s="36"/>
      <c r="W18" s="37"/>
      <c r="X18" s="1"/>
      <c r="Y18" s="1" t="s">
        <v>42</v>
      </c>
      <c r="Z18" s="1">
        <v>1.8240000000000001</v>
      </c>
      <c r="AA18" s="1">
        <v>4.97</v>
      </c>
      <c r="AB18" s="2">
        <v>-204000</v>
      </c>
      <c r="AC18" s="2"/>
      <c r="AD18" s="18">
        <f>($B$23/AB18)^(1/6) * 1.8</f>
        <v>2.1355980793246094</v>
      </c>
      <c r="AE18" s="16" t="str">
        <f t="shared" si="3"/>
        <v>strong</v>
      </c>
      <c r="AF18" s="1"/>
      <c r="AG18" s="1"/>
      <c r="AH18" s="1"/>
      <c r="AI18" s="1"/>
      <c r="AJ18" s="1"/>
      <c r="AK18" s="1"/>
      <c r="AL18" s="1"/>
    </row>
    <row r="19" spans="2:38" x14ac:dyDescent="0.2">
      <c r="H19" s="22"/>
      <c r="I19" s="1" t="s">
        <v>41</v>
      </c>
      <c r="J19" s="1">
        <v>1.46</v>
      </c>
      <c r="K19" s="1">
        <v>3.5449999999999999</v>
      </c>
      <c r="L19" s="2">
        <v>-25600</v>
      </c>
      <c r="M19" s="2"/>
      <c r="N19" s="18"/>
      <c r="O19" s="16"/>
      <c r="P19" s="1"/>
      <c r="V19" s="23"/>
      <c r="W19" s="1"/>
      <c r="X19" s="1"/>
      <c r="Y19" s="1" t="s">
        <v>43</v>
      </c>
      <c r="Z19" s="1">
        <v>3.5329999999999999</v>
      </c>
      <c r="AA19" s="1">
        <v>4.274</v>
      </c>
      <c r="AB19" s="2">
        <v>-413000</v>
      </c>
      <c r="AC19" s="2">
        <f>AB19+AB20</f>
        <v>-717000</v>
      </c>
      <c r="AD19" s="18">
        <f>($B$23/AC19)^(1/6) * 1.8</f>
        <v>1.7319606615590273</v>
      </c>
      <c r="AE19" s="16" t="str">
        <f t="shared" si="3"/>
        <v>strong</v>
      </c>
      <c r="AF19" s="1"/>
      <c r="AG19" s="1"/>
      <c r="AH19" s="1"/>
      <c r="AI19" s="1"/>
      <c r="AJ19" s="1"/>
      <c r="AK19" s="1"/>
      <c r="AL19" s="1"/>
    </row>
    <row r="20" spans="2:38" x14ac:dyDescent="0.2">
      <c r="H20" s="1"/>
      <c r="I20" s="1" t="s">
        <v>34</v>
      </c>
      <c r="J20" s="1">
        <v>4.28</v>
      </c>
      <c r="K20" s="1">
        <v>4.8620000000000001</v>
      </c>
      <c r="L20" s="2">
        <v>-164000</v>
      </c>
      <c r="M20" s="2"/>
      <c r="N20" s="18">
        <f>($B$23/L20)^(1/6) * 1.8</f>
        <v>2.2147119117416763</v>
      </c>
      <c r="O20" s="16" t="str">
        <f>IF(N20&lt;=2.5, "strong", IF(N20&lt;3.5, "medium", "weak"))</f>
        <v>strong</v>
      </c>
      <c r="P20" s="1"/>
      <c r="Q20" s="34" t="s">
        <v>77</v>
      </c>
      <c r="R20" s="34">
        <v>1.546</v>
      </c>
      <c r="S20" s="34">
        <v>3.87</v>
      </c>
      <c r="T20" s="35">
        <v>-58700</v>
      </c>
      <c r="U20" s="35">
        <f>T20+T21</f>
        <v>-103300</v>
      </c>
      <c r="V20" s="36">
        <f>($B$23/U20)^(1/6) * 1.8</f>
        <v>2.3920733681039059</v>
      </c>
      <c r="W20" s="37" t="str">
        <f t="shared" si="2"/>
        <v>strong</v>
      </c>
      <c r="X20" s="1"/>
      <c r="Y20" s="1" t="s">
        <v>43</v>
      </c>
      <c r="Z20" s="1">
        <v>3.5289999999999999</v>
      </c>
      <c r="AA20" s="1">
        <v>4.2939999999999996</v>
      </c>
      <c r="AB20" s="2">
        <v>-304000</v>
      </c>
      <c r="AC20" s="2"/>
      <c r="AE20" s="16"/>
      <c r="AF20" s="1"/>
      <c r="AG20" s="1"/>
      <c r="AH20" s="1"/>
      <c r="AI20" s="1"/>
      <c r="AJ20" s="1"/>
      <c r="AK20" s="1"/>
      <c r="AL20" s="1"/>
    </row>
    <row r="21" spans="2:38" x14ac:dyDescent="0.2">
      <c r="H21" s="1"/>
      <c r="N21" s="16"/>
      <c r="O21" s="1"/>
      <c r="P21" s="1"/>
      <c r="Q21" s="34" t="s">
        <v>77</v>
      </c>
      <c r="R21" s="34">
        <v>1.546</v>
      </c>
      <c r="S21" s="34">
        <v>3.8929999999999998</v>
      </c>
      <c r="T21" s="35">
        <v>-44600</v>
      </c>
      <c r="U21" s="35"/>
      <c r="V21" s="36"/>
      <c r="W21" s="37"/>
      <c r="X21" s="1"/>
      <c r="AD21" s="23"/>
      <c r="AE21" s="1"/>
      <c r="AF21" s="1"/>
      <c r="AG21" s="1"/>
      <c r="AH21" s="1"/>
      <c r="AI21" s="1"/>
      <c r="AJ21" s="1"/>
      <c r="AK21" s="1"/>
      <c r="AL21" s="1"/>
    </row>
    <row r="22" spans="2:38" x14ac:dyDescent="0.2">
      <c r="B22" s="13" t="s">
        <v>24</v>
      </c>
      <c r="F22" s="18"/>
      <c r="G22" s="1"/>
      <c r="H22" s="1"/>
      <c r="I22" s="1" t="s">
        <v>78</v>
      </c>
      <c r="J22" s="1">
        <v>2.9540000000000002</v>
      </c>
      <c r="K22" s="1">
        <v>3.53</v>
      </c>
      <c r="L22" s="2">
        <v>-124000</v>
      </c>
      <c r="M22" s="2">
        <f>L22+L23</f>
        <v>-241000</v>
      </c>
      <c r="N22" s="18">
        <f>($B$23/M22)^(1/6) * 1.8</f>
        <v>2.0770886969541174</v>
      </c>
      <c r="O22" s="16" t="str">
        <f>IF(N22&lt;=2.5, "strong", IF(N22&lt;3.5, "medium", "weak"))</f>
        <v>strong</v>
      </c>
      <c r="P22" s="1"/>
      <c r="V22" s="23"/>
      <c r="W22" s="1"/>
      <c r="X22" s="1"/>
      <c r="Y22" s="1" t="s">
        <v>45</v>
      </c>
      <c r="Z22" s="1">
        <v>1.46</v>
      </c>
      <c r="AA22" s="1">
        <v>4.8620000000000001</v>
      </c>
      <c r="AB22" s="2">
        <v>-216000</v>
      </c>
      <c r="AC22" s="2"/>
      <c r="AD22" s="18">
        <f>($B$23/AB22)^(1/6) * 1.8</f>
        <v>2.1153501111300717</v>
      </c>
      <c r="AE22" s="16" t="str">
        <f t="shared" si="3"/>
        <v>strong</v>
      </c>
      <c r="AF22" s="1"/>
      <c r="AG22" s="1"/>
      <c r="AH22" s="1"/>
      <c r="AI22" s="1"/>
      <c r="AJ22" s="1"/>
      <c r="AK22" s="1"/>
      <c r="AL22" s="1"/>
    </row>
    <row r="23" spans="2:38" x14ac:dyDescent="0.2">
      <c r="B23" s="2">
        <f>SUM(AB39:AB40)</f>
        <v>-569000</v>
      </c>
      <c r="C23" s="2"/>
      <c r="F23" s="18"/>
      <c r="G23" s="1"/>
      <c r="H23" s="1"/>
      <c r="I23" s="1" t="s">
        <v>78</v>
      </c>
      <c r="J23" s="1">
        <v>2.9540000000000002</v>
      </c>
      <c r="K23" s="1">
        <v>3.5529999999999999</v>
      </c>
      <c r="L23" s="2">
        <v>-117000</v>
      </c>
      <c r="M23" s="2"/>
      <c r="N23" s="18"/>
      <c r="O23" s="16"/>
      <c r="P23" s="1"/>
      <c r="Q23" s="34" t="s">
        <v>79</v>
      </c>
      <c r="R23" s="34">
        <v>1.514</v>
      </c>
      <c r="S23" s="34">
        <v>3.298</v>
      </c>
      <c r="T23" s="35">
        <v>-84200</v>
      </c>
      <c r="U23" s="35">
        <f>T23+T24</f>
        <v>-138300</v>
      </c>
      <c r="V23" s="36">
        <f>($B$23/U23)^(1/6) * 1.8</f>
        <v>2.2785270362860301</v>
      </c>
      <c r="W23" s="37" t="str">
        <f t="shared" si="2"/>
        <v>strong</v>
      </c>
      <c r="X23" s="1"/>
      <c r="Y23" s="1" t="s">
        <v>47</v>
      </c>
      <c r="Z23" s="1">
        <v>2.9510000000000001</v>
      </c>
      <c r="AA23" s="1">
        <v>4.2759999999999998</v>
      </c>
      <c r="AB23" s="2">
        <v>-383000</v>
      </c>
      <c r="AC23" s="2">
        <f>AB23+AB24</f>
        <v>-724000</v>
      </c>
      <c r="AD23" s="18">
        <f>($B$23/AC23)^(1/6) * 1.8</f>
        <v>1.7291584386832919</v>
      </c>
      <c r="AE23" s="16" t="str">
        <f t="shared" si="3"/>
        <v>strong</v>
      </c>
      <c r="AF23" s="1"/>
      <c r="AG23" s="1"/>
      <c r="AH23" s="1"/>
      <c r="AI23" s="1"/>
      <c r="AJ23" s="1"/>
      <c r="AK23" s="1"/>
      <c r="AL23" s="1"/>
    </row>
    <row r="24" spans="2:38" x14ac:dyDescent="0.2">
      <c r="F24" s="18"/>
      <c r="G24" s="1"/>
      <c r="H24" s="1"/>
      <c r="N24" s="23"/>
      <c r="O24" s="1"/>
      <c r="P24" s="1"/>
      <c r="Q24" s="34" t="s">
        <v>79</v>
      </c>
      <c r="R24" s="34">
        <v>1.514</v>
      </c>
      <c r="S24" s="34">
        <v>3.2770000000000001</v>
      </c>
      <c r="T24" s="35">
        <v>-54100</v>
      </c>
      <c r="U24" s="35"/>
      <c r="V24" s="36"/>
      <c r="W24" s="37"/>
      <c r="X24" s="1"/>
      <c r="Y24" s="1" t="s">
        <v>47</v>
      </c>
      <c r="Z24" s="1">
        <v>2.9550000000000001</v>
      </c>
      <c r="AA24" s="1">
        <v>4.2549999999999999</v>
      </c>
      <c r="AB24" s="2">
        <v>-341000</v>
      </c>
      <c r="AC24" s="2"/>
      <c r="AE24" s="16"/>
      <c r="AF24" s="1"/>
      <c r="AG24" s="1"/>
      <c r="AH24" s="1"/>
      <c r="AI24" s="1"/>
      <c r="AJ24" s="1"/>
      <c r="AK24" s="1"/>
      <c r="AL24" s="1"/>
    </row>
    <row r="25" spans="2:38" x14ac:dyDescent="0.2">
      <c r="C25" s="22" t="s">
        <v>110</v>
      </c>
      <c r="F25" s="18"/>
      <c r="G25" s="1"/>
      <c r="H25" s="1"/>
      <c r="I25" s="1" t="s">
        <v>80</v>
      </c>
      <c r="J25" s="1">
        <v>3.5459999999999998</v>
      </c>
      <c r="K25" s="1">
        <v>4.7729999999999997</v>
      </c>
      <c r="L25" s="2">
        <v>-295000</v>
      </c>
      <c r="M25" s="2"/>
      <c r="N25" s="18">
        <f>($B$23/L25)^(1/6) * 1.8</f>
        <v>2.0082643559489566</v>
      </c>
      <c r="O25" s="16" t="str">
        <f>IF(N25&lt;=2.5, "strong", IF(N25&lt;3.5, "medium", "weak"))</f>
        <v>strong</v>
      </c>
      <c r="P25" s="1"/>
      <c r="V25" s="23"/>
      <c r="W25" s="1"/>
      <c r="X25" s="1"/>
      <c r="AD25" s="23"/>
      <c r="AE25" s="1"/>
      <c r="AF25" s="1"/>
      <c r="AG25" s="1"/>
      <c r="AH25" s="1"/>
      <c r="AI25" s="1"/>
      <c r="AJ25" s="1"/>
      <c r="AK25" s="1"/>
      <c r="AL25" s="1"/>
    </row>
    <row r="26" spans="2:38" x14ac:dyDescent="0.2">
      <c r="B26" s="11" t="s">
        <v>33</v>
      </c>
      <c r="C26" s="16" t="s">
        <v>121</v>
      </c>
      <c r="F26" s="18"/>
      <c r="G26" s="1"/>
      <c r="H26" s="1"/>
      <c r="I26" s="1" t="s">
        <v>81</v>
      </c>
      <c r="J26" s="1">
        <v>3.87</v>
      </c>
      <c r="K26" s="1">
        <v>4.7699999999999996</v>
      </c>
      <c r="L26" s="2">
        <v>-122000</v>
      </c>
      <c r="M26" s="2">
        <f>L26+L27</f>
        <v>-241000</v>
      </c>
      <c r="N26" s="18">
        <f>($B$23/M26)^(1/6) * 1.8</f>
        <v>2.0770886969541174</v>
      </c>
      <c r="O26" s="16" t="str">
        <f>IF(N26&lt;=2.5, "strong", IF(N26&lt;3.5, "medium", "weak"))</f>
        <v>strong</v>
      </c>
      <c r="P26" s="1"/>
      <c r="Q26" s="34" t="s">
        <v>82</v>
      </c>
      <c r="R26" s="34">
        <v>1.66</v>
      </c>
      <c r="S26" s="34">
        <v>3.944</v>
      </c>
      <c r="T26" s="35">
        <v>-51900</v>
      </c>
      <c r="U26" s="35">
        <f>T26+T27</f>
        <v>-84500</v>
      </c>
      <c r="V26" s="36">
        <f>($B$23/U26)^(1/6) * 1.8</f>
        <v>2.4735181304348215</v>
      </c>
      <c r="W26" s="37" t="str">
        <f t="shared" si="2"/>
        <v>strong</v>
      </c>
      <c r="X26" s="1"/>
      <c r="Y26" s="1" t="s">
        <v>48</v>
      </c>
      <c r="Z26" s="1">
        <v>1.548</v>
      </c>
      <c r="AA26" s="1">
        <v>6.0960000000000001</v>
      </c>
      <c r="AB26" s="2">
        <v>-266000</v>
      </c>
      <c r="AC26" s="2"/>
      <c r="AD26" s="18">
        <f>($B$23/AB26)^(1/6) * 1.8</f>
        <v>2.0432002986411213</v>
      </c>
      <c r="AE26" s="16" t="str">
        <f t="shared" si="3"/>
        <v>strong</v>
      </c>
      <c r="AF26" s="1"/>
      <c r="AG26" s="1"/>
      <c r="AH26" s="1"/>
      <c r="AI26" s="1"/>
      <c r="AJ26" s="1"/>
      <c r="AK26" s="1"/>
      <c r="AL26" s="1"/>
    </row>
    <row r="27" spans="2:38" x14ac:dyDescent="0.2">
      <c r="B27" s="12" t="s">
        <v>37</v>
      </c>
      <c r="C27" s="22" t="s">
        <v>122</v>
      </c>
      <c r="F27" s="18"/>
      <c r="G27" s="1"/>
      <c r="H27" s="1"/>
      <c r="I27" s="1" t="s">
        <v>81</v>
      </c>
      <c r="J27" s="1">
        <v>3.8929999999999998</v>
      </c>
      <c r="K27" s="1">
        <v>4.7729999999999997</v>
      </c>
      <c r="L27" s="2">
        <v>-119000</v>
      </c>
      <c r="M27" s="2"/>
      <c r="N27" s="18"/>
      <c r="O27" s="16"/>
      <c r="P27" s="1"/>
      <c r="Q27" s="34" t="s">
        <v>82</v>
      </c>
      <c r="R27" s="34">
        <v>1.66</v>
      </c>
      <c r="S27" s="34">
        <v>3.97</v>
      </c>
      <c r="T27" s="35">
        <v>-32600</v>
      </c>
      <c r="U27" s="35"/>
      <c r="V27" s="36"/>
      <c r="W27" s="37"/>
      <c r="X27" s="1"/>
      <c r="Y27" s="1" t="s">
        <v>49</v>
      </c>
      <c r="Z27" s="1">
        <v>3.5329999999999999</v>
      </c>
      <c r="AA27" s="1">
        <v>3.87</v>
      </c>
      <c r="AB27" s="2">
        <v>-345000</v>
      </c>
      <c r="AC27" s="2">
        <f>AB27+AB28</f>
        <v>-461000</v>
      </c>
      <c r="AD27" s="18">
        <f>($B$23/AC27)^(1/6) * 1.8</f>
        <v>1.8642653539926071</v>
      </c>
      <c r="AE27" s="16" t="str">
        <f t="shared" si="3"/>
        <v>strong</v>
      </c>
      <c r="AF27" s="1"/>
      <c r="AG27" s="1"/>
      <c r="AH27" s="1"/>
      <c r="AI27" s="1"/>
      <c r="AJ27" s="1"/>
      <c r="AK27" s="1"/>
      <c r="AL27" s="1"/>
    </row>
    <row r="28" spans="2:38" x14ac:dyDescent="0.2">
      <c r="B28" s="9" t="s">
        <v>39</v>
      </c>
      <c r="C28" s="22" t="s">
        <v>123</v>
      </c>
      <c r="F28" s="18"/>
      <c r="G28" s="1"/>
      <c r="H28" s="1"/>
      <c r="N28" s="16"/>
      <c r="O28" s="1"/>
      <c r="P28" s="1"/>
      <c r="V28" s="23"/>
      <c r="W28" s="1"/>
      <c r="X28" s="1"/>
      <c r="Y28" s="1" t="s">
        <v>49</v>
      </c>
      <c r="Z28" s="1">
        <v>3.5350000000000001</v>
      </c>
      <c r="AA28" s="1">
        <v>3.895</v>
      </c>
      <c r="AB28" s="2">
        <v>-116000</v>
      </c>
      <c r="AC28" s="2"/>
      <c r="AE28" s="16"/>
      <c r="AF28" s="1"/>
      <c r="AG28" s="1"/>
      <c r="AH28" s="1"/>
      <c r="AI28" s="1"/>
      <c r="AJ28" s="1"/>
      <c r="AK28" s="1"/>
      <c r="AL28" s="1"/>
    </row>
    <row r="29" spans="2:38" x14ac:dyDescent="0.2">
      <c r="F29" s="18"/>
      <c r="G29" s="1"/>
      <c r="H29" s="1"/>
      <c r="I29" s="1" t="s">
        <v>83</v>
      </c>
      <c r="J29" s="1">
        <v>3.2890000000000001</v>
      </c>
      <c r="K29" s="1">
        <v>3.8260000000000001</v>
      </c>
      <c r="L29" s="2">
        <v>-83600</v>
      </c>
      <c r="M29" s="2">
        <f>L29+L30</f>
        <v>-221600</v>
      </c>
      <c r="N29" s="18">
        <f>($B$23/M29)^(1/6) * 1.8</f>
        <v>2.1063454075469732</v>
      </c>
      <c r="O29" s="16" t="str">
        <f>IF(N29&lt;=2.5, "strong", IF(N29&lt;3.5, "medium", "weak"))</f>
        <v>strong</v>
      </c>
      <c r="P29" s="1"/>
      <c r="Q29" s="34" t="s">
        <v>84</v>
      </c>
      <c r="R29" s="34">
        <v>1.645</v>
      </c>
      <c r="S29" s="34">
        <v>3.3759999999999999</v>
      </c>
      <c r="T29" s="35">
        <v>-83700</v>
      </c>
      <c r="U29" s="35">
        <f>T29+T30</f>
        <v>-152200</v>
      </c>
      <c r="V29" s="36">
        <f>($B$23/U29)^(1/6) * 1.8</f>
        <v>2.2424465874280664</v>
      </c>
      <c r="W29" s="37" t="str">
        <f t="shared" si="2"/>
        <v>strong</v>
      </c>
      <c r="X29" s="1"/>
      <c r="AD29" s="23"/>
      <c r="AE29" s="1"/>
      <c r="AF29" s="1"/>
      <c r="AG29" s="1"/>
      <c r="AH29" s="1"/>
      <c r="AI29" s="1"/>
      <c r="AJ29" s="1"/>
      <c r="AK29" s="1"/>
      <c r="AL29" s="1"/>
    </row>
    <row r="30" spans="2:38" x14ac:dyDescent="0.2">
      <c r="F30" s="18"/>
      <c r="G30" s="1"/>
      <c r="H30" s="1"/>
      <c r="I30" s="1" t="s">
        <v>83</v>
      </c>
      <c r="J30" s="1">
        <v>3.2890000000000001</v>
      </c>
      <c r="K30" s="1">
        <v>3.802</v>
      </c>
      <c r="L30" s="2">
        <v>-138000</v>
      </c>
      <c r="M30" s="2"/>
      <c r="N30" s="18"/>
      <c r="O30" s="16"/>
      <c r="P30" s="1"/>
      <c r="Q30" s="34" t="s">
        <v>84</v>
      </c>
      <c r="R30" s="34">
        <v>1.6439999999999999</v>
      </c>
      <c r="S30" s="34">
        <v>3.3540000000000001</v>
      </c>
      <c r="T30" s="35">
        <v>-68500</v>
      </c>
      <c r="U30" s="35"/>
      <c r="V30" s="36"/>
      <c r="W30" s="37"/>
      <c r="X30" s="1"/>
      <c r="Y30" s="1" t="s">
        <v>85</v>
      </c>
      <c r="Z30" s="1">
        <v>1.516</v>
      </c>
      <c r="AA30" s="1">
        <v>4.7720000000000002</v>
      </c>
      <c r="AB30" s="2">
        <v>-271000</v>
      </c>
      <c r="AC30" s="2"/>
      <c r="AD30" s="18">
        <f>($B$23/AB30)^(1/6) * 1.8</f>
        <v>2.0368685427774169</v>
      </c>
      <c r="AE30" s="16" t="str">
        <f t="shared" si="3"/>
        <v>strong</v>
      </c>
      <c r="AF30" s="1"/>
      <c r="AG30" s="1"/>
      <c r="AH30" s="1"/>
      <c r="AI30" s="1"/>
      <c r="AJ30" s="1"/>
      <c r="AK30" s="1"/>
      <c r="AL30" s="1"/>
    </row>
    <row r="31" spans="2:38" x14ac:dyDescent="0.2">
      <c r="F31" s="18"/>
      <c r="G31" s="1"/>
      <c r="H31" s="1"/>
      <c r="N31" s="16"/>
      <c r="O31" s="1"/>
      <c r="P31" s="1"/>
      <c r="Q31" s="1" t="s">
        <v>86</v>
      </c>
      <c r="R31" s="1">
        <v>3.355</v>
      </c>
      <c r="S31" s="1">
        <v>4.8150000000000004</v>
      </c>
      <c r="T31" s="2">
        <v>-51500</v>
      </c>
      <c r="U31" s="2"/>
      <c r="V31" s="18">
        <f>($B$23/T31)^(1/6) * 1.8</f>
        <v>2.6863133971532958</v>
      </c>
      <c r="W31" s="16" t="str">
        <f t="shared" si="2"/>
        <v>strong</v>
      </c>
      <c r="X31" s="1"/>
      <c r="Y31" s="1" t="s">
        <v>87</v>
      </c>
      <c r="Z31" s="1">
        <v>3.2869999999999999</v>
      </c>
      <c r="AA31" s="1">
        <v>5.1369999999999996</v>
      </c>
      <c r="AB31" s="2">
        <v>-309000</v>
      </c>
      <c r="AC31" s="2">
        <f>AB31+AB32</f>
        <v>-564000</v>
      </c>
      <c r="AD31" s="18">
        <f>($B$23/AC31)^(1/6) * 1.8</f>
        <v>1.8026498032812901</v>
      </c>
      <c r="AE31" s="16" t="str">
        <f t="shared" si="3"/>
        <v>strong</v>
      </c>
      <c r="AF31" s="1"/>
      <c r="AG31" s="1"/>
      <c r="AH31" s="1"/>
      <c r="AI31" s="1"/>
      <c r="AJ31" s="1"/>
      <c r="AK31" s="1"/>
      <c r="AL31" s="1"/>
    </row>
    <row r="32" spans="2:38" x14ac:dyDescent="0.2">
      <c r="F32" s="18"/>
      <c r="G32" s="1"/>
      <c r="H32" s="1"/>
      <c r="I32" s="1" t="s">
        <v>88</v>
      </c>
      <c r="J32" s="1">
        <v>3.8180000000000001</v>
      </c>
      <c r="K32" s="1">
        <v>4.8129999999999997</v>
      </c>
      <c r="L32" s="2">
        <v>-176000</v>
      </c>
      <c r="M32" s="2"/>
      <c r="N32" s="18">
        <f>($B$23/L32)^(1/6) * 1.8</f>
        <v>2.1887984451588669</v>
      </c>
      <c r="O32" s="16" t="str">
        <f>IF(N32&lt;=2.5, "strong", IF(N32&lt;3.5, "medium", "weak"))</f>
        <v>strong</v>
      </c>
      <c r="P32" s="1"/>
      <c r="V32" s="23"/>
      <c r="W32" s="1"/>
      <c r="X32" s="1"/>
      <c r="Y32" s="1" t="s">
        <v>87</v>
      </c>
      <c r="Z32" s="1">
        <v>3.29</v>
      </c>
      <c r="AA32" s="1">
        <v>5.1159999999999997</v>
      </c>
      <c r="AB32" s="2">
        <v>-255000</v>
      </c>
      <c r="AC32" s="2"/>
      <c r="AE32" s="16"/>
      <c r="AF32" s="1"/>
      <c r="AG32" s="1"/>
      <c r="AH32" s="1"/>
      <c r="AI32" s="1"/>
      <c r="AJ32" s="1"/>
      <c r="AK32" s="1"/>
      <c r="AL32" s="1"/>
    </row>
    <row r="33" spans="6:38" x14ac:dyDescent="0.2">
      <c r="F33" s="18"/>
      <c r="G33" s="1"/>
      <c r="H33" s="1"/>
      <c r="I33" s="1" t="s">
        <v>89</v>
      </c>
      <c r="J33" s="1">
        <v>3.956</v>
      </c>
      <c r="K33" s="1">
        <v>4.8120000000000003</v>
      </c>
      <c r="L33" s="2">
        <v>-277000</v>
      </c>
      <c r="M33" s="2"/>
      <c r="N33" s="18">
        <f>($B$23/L33)^(1/6) * 1.8</f>
        <v>2.0294479688773106</v>
      </c>
      <c r="O33" s="16" t="str">
        <f>IF(N33&lt;=2.5, "strong", IF(N33&lt;3.5, "medium", "weak"))</f>
        <v>strong</v>
      </c>
      <c r="P33" s="1"/>
      <c r="Q33" s="14" t="s">
        <v>90</v>
      </c>
      <c r="R33" s="14">
        <v>3.9540000000000002</v>
      </c>
      <c r="S33" s="14">
        <v>4.4530000000000003</v>
      </c>
      <c r="T33" s="15">
        <v>-56300</v>
      </c>
      <c r="U33" s="15"/>
      <c r="V33" s="18">
        <f>($B$23/T33)^(1/6) * 1.8</f>
        <v>2.6467107644035583</v>
      </c>
      <c r="W33" s="16" t="str">
        <f t="shared" si="2"/>
        <v>strong</v>
      </c>
      <c r="X33" s="1"/>
      <c r="AD33" s="23"/>
      <c r="AE33" s="1"/>
      <c r="AF33" s="1"/>
      <c r="AG33" s="1"/>
      <c r="AH33" s="1"/>
      <c r="AI33" s="1"/>
      <c r="AJ33" s="1"/>
      <c r="AK33" s="1"/>
      <c r="AL33" s="1"/>
    </row>
    <row r="34" spans="6:38" x14ac:dyDescent="0.2">
      <c r="F34" s="18"/>
      <c r="G34" s="1"/>
      <c r="H34" s="1"/>
      <c r="N34" s="18"/>
      <c r="O34" s="1"/>
      <c r="P34" s="1"/>
      <c r="Q34" s="14" t="s">
        <v>91</v>
      </c>
      <c r="R34" s="14">
        <v>1.841</v>
      </c>
      <c r="S34" s="14">
        <v>3.9580000000000002</v>
      </c>
      <c r="T34" s="15">
        <v>-87700</v>
      </c>
      <c r="U34" s="15"/>
      <c r="V34" s="18">
        <f>($B$23/T34)^(1/6) * 1.8</f>
        <v>2.4582419025755851</v>
      </c>
      <c r="W34" s="16" t="str">
        <f t="shared" si="2"/>
        <v>strong</v>
      </c>
      <c r="X34" s="1"/>
      <c r="Y34" s="1" t="s">
        <v>92</v>
      </c>
      <c r="Z34" s="1">
        <v>1.661</v>
      </c>
      <c r="AA34" s="1">
        <v>6.21</v>
      </c>
      <c r="AB34" s="2">
        <v>-149000</v>
      </c>
      <c r="AC34" s="2"/>
      <c r="AD34" s="18">
        <f>($B$23/AB34)^(1/6) * 1.8</f>
        <v>2.2504023435799794</v>
      </c>
      <c r="AE34" s="16" t="str">
        <f t="shared" si="3"/>
        <v>strong</v>
      </c>
      <c r="AF34" s="1"/>
      <c r="AG34" s="1"/>
      <c r="AH34" s="1"/>
      <c r="AI34" s="1"/>
      <c r="AJ34" s="1"/>
      <c r="AK34" s="1"/>
      <c r="AL34" s="1"/>
    </row>
    <row r="35" spans="6:38" x14ac:dyDescent="0.2">
      <c r="F35" s="18"/>
      <c r="G35" s="1"/>
      <c r="H35" s="1"/>
      <c r="N35" s="18"/>
      <c r="O35" s="1"/>
      <c r="P35" s="1"/>
      <c r="W35" s="1"/>
      <c r="X35" s="1"/>
      <c r="Y35" s="1" t="s">
        <v>93</v>
      </c>
      <c r="Z35" s="1">
        <v>3.8010000000000002</v>
      </c>
      <c r="AA35" s="1">
        <v>3.9470000000000001</v>
      </c>
      <c r="AB35" s="2">
        <v>-259000</v>
      </c>
      <c r="AC35" s="2">
        <f>AB35+AB36</f>
        <v>-492000</v>
      </c>
      <c r="AD35" s="18">
        <f>($B$23/AC35)^(1/6) * 1.8</f>
        <v>1.8441533522607769</v>
      </c>
      <c r="AE35" s="16" t="str">
        <f t="shared" si="3"/>
        <v>strong</v>
      </c>
      <c r="AF35" s="1"/>
      <c r="AG35" s="1"/>
      <c r="AH35" s="1"/>
      <c r="AI35" s="1"/>
      <c r="AJ35" s="1"/>
      <c r="AK35" s="1"/>
      <c r="AL35" s="1"/>
    </row>
    <row r="36" spans="6:38" ht="19" x14ac:dyDescent="0.2">
      <c r="F36" s="18"/>
      <c r="G36" s="1"/>
      <c r="H36" s="1"/>
      <c r="N36" s="18"/>
      <c r="O36" s="1"/>
      <c r="P36" s="1"/>
      <c r="Q36" s="1" t="s">
        <v>124</v>
      </c>
      <c r="R36" s="1">
        <v>4.9989999999999997</v>
      </c>
      <c r="S36" s="1">
        <v>8.4179999999999993</v>
      </c>
      <c r="T36" s="2">
        <v>-38200</v>
      </c>
      <c r="U36" s="2"/>
      <c r="V36" s="18">
        <f>($B$23/T36)^(1/6) * 1.8</f>
        <v>2.8234536042254268</v>
      </c>
      <c r="W36" s="16" t="str">
        <f>IF(V36&lt;=2.5, "strong", IF(V36&lt;3.5, "medium", "weak"))</f>
        <v>medium</v>
      </c>
      <c r="X36" s="1"/>
      <c r="Y36" s="1" t="s">
        <v>93</v>
      </c>
      <c r="Z36" s="1">
        <v>3.8029999999999999</v>
      </c>
      <c r="AA36" s="1">
        <v>3.9740000000000002</v>
      </c>
      <c r="AB36" s="2">
        <v>-233000</v>
      </c>
      <c r="AC36" s="2"/>
      <c r="AE36" s="16"/>
      <c r="AF36" s="1"/>
      <c r="AG36" s="1"/>
      <c r="AH36" s="1"/>
      <c r="AI36" s="1"/>
      <c r="AJ36" s="1"/>
      <c r="AK36" s="1"/>
      <c r="AL36" s="1"/>
    </row>
    <row r="37" spans="6:38" ht="19" x14ac:dyDescent="0.2">
      <c r="Q37" s="1" t="s">
        <v>125</v>
      </c>
      <c r="R37" s="1">
        <v>4.9989999999999997</v>
      </c>
      <c r="S37" s="1">
        <v>8.6039999999999992</v>
      </c>
      <c r="T37" s="2">
        <v>-33700</v>
      </c>
      <c r="U37" s="2"/>
      <c r="V37" s="18">
        <f>($B$23/T37)^(1/6) * 1.8</f>
        <v>2.883054813194891</v>
      </c>
      <c r="W37" s="16" t="str">
        <f>IF(V37&lt;=2.5, "strong", IF(V37&lt;3.5, "medium", "weak"))</f>
        <v>medium</v>
      </c>
      <c r="AD37" s="23"/>
      <c r="AE37" s="1"/>
    </row>
    <row r="38" spans="6:38" x14ac:dyDescent="0.2">
      <c r="F38" s="18"/>
      <c r="G38" s="1"/>
      <c r="H38" s="1"/>
      <c r="N38" s="18"/>
      <c r="O38" s="1"/>
      <c r="P38" s="1"/>
      <c r="W38" s="1"/>
      <c r="X38" s="1"/>
      <c r="Y38" s="1" t="s">
        <v>94</v>
      </c>
      <c r="Z38" s="1">
        <v>1.6419999999999999</v>
      </c>
      <c r="AA38" s="1">
        <v>4.8120000000000003</v>
      </c>
      <c r="AB38" s="2">
        <v>-214000</v>
      </c>
      <c r="AC38" s="2"/>
      <c r="AD38" s="18">
        <f>($B$23/AB38)^(1/6) * 1.8</f>
        <v>2.1186322910418074</v>
      </c>
      <c r="AE38" s="16" t="str">
        <f t="shared" si="3"/>
        <v>strong</v>
      </c>
      <c r="AF38" s="1"/>
      <c r="AG38" s="1"/>
      <c r="AH38" s="1"/>
      <c r="AI38" s="1"/>
      <c r="AJ38" s="1"/>
      <c r="AK38" s="1"/>
      <c r="AL38" s="1"/>
    </row>
    <row r="39" spans="6:38" ht="19" x14ac:dyDescent="0.2">
      <c r="F39" s="18"/>
      <c r="G39" s="1"/>
      <c r="H39" s="1"/>
      <c r="N39" s="18"/>
      <c r="O39" s="1"/>
      <c r="P39" s="1"/>
      <c r="Q39" s="1" t="s">
        <v>126</v>
      </c>
      <c r="R39" s="1">
        <v>2.0379999999999998</v>
      </c>
      <c r="S39" s="1">
        <v>8.59</v>
      </c>
      <c r="T39" s="2">
        <v>-32800</v>
      </c>
      <c r="U39" s="2"/>
      <c r="V39" s="18">
        <f>($B$23/T39)^(1/6) * 1.8</f>
        <v>2.8960912548843107</v>
      </c>
      <c r="W39" s="16" t="str">
        <f>IF(V39&lt;=2.5, "strong", IF(V39&lt;3.5, "medium", "weak"))</f>
        <v>medium</v>
      </c>
      <c r="X39" s="1"/>
      <c r="Y39" s="1" t="s">
        <v>95</v>
      </c>
      <c r="Z39" s="1">
        <v>3.3639999999999999</v>
      </c>
      <c r="AA39" s="1">
        <v>4.3170000000000002</v>
      </c>
      <c r="AB39" s="33">
        <v>-363000</v>
      </c>
      <c r="AC39" s="2">
        <f>AB39+AB40</f>
        <v>-569000</v>
      </c>
      <c r="AD39" s="18">
        <f>($B$23/AC39)^(1/6) * 1.8</f>
        <v>1.8</v>
      </c>
      <c r="AE39" s="16" t="str">
        <f t="shared" si="3"/>
        <v>strong</v>
      </c>
      <c r="AF39" s="1"/>
      <c r="AG39" s="1"/>
      <c r="AH39" s="1"/>
      <c r="AI39" s="1"/>
      <c r="AJ39" s="1"/>
      <c r="AK39" s="1"/>
      <c r="AL39" s="1"/>
    </row>
    <row r="40" spans="6:38" x14ac:dyDescent="0.2">
      <c r="F40" s="18"/>
      <c r="G40" s="1"/>
      <c r="H40" s="1"/>
      <c r="N40" s="18"/>
      <c r="O40" s="1"/>
      <c r="P40" s="1"/>
      <c r="W40" s="1"/>
      <c r="X40" s="1"/>
      <c r="Y40" s="1" t="s">
        <v>95</v>
      </c>
      <c r="Z40" s="1">
        <v>3.367</v>
      </c>
      <c r="AA40" s="1">
        <v>4.2949999999999999</v>
      </c>
      <c r="AB40" s="33">
        <v>-206000</v>
      </c>
      <c r="AC40" s="2"/>
      <c r="AE40" s="16"/>
      <c r="AF40" s="1"/>
      <c r="AG40" s="1"/>
      <c r="AH40" s="1"/>
      <c r="AI40" s="1"/>
      <c r="AJ40" s="1"/>
      <c r="AK40" s="1"/>
      <c r="AL40" s="1"/>
    </row>
    <row r="41" spans="6:38" ht="19" x14ac:dyDescent="0.2">
      <c r="Q41" s="1" t="s">
        <v>127</v>
      </c>
      <c r="R41" s="1">
        <v>4.5289999999999999</v>
      </c>
      <c r="S41" s="1">
        <v>8.4179999999999993</v>
      </c>
      <c r="T41" s="2">
        <v>-25700</v>
      </c>
      <c r="U41" s="2"/>
      <c r="V41" s="18">
        <f>($B$23/T41)^(1/6) * 1.8</f>
        <v>3.0162617653561177</v>
      </c>
      <c r="W41" s="16" t="str">
        <f>IF(V41&lt;=2.5, "strong", IF(V41&lt;3.5, "medium", "weak"))</f>
        <v>medium</v>
      </c>
      <c r="AD41" s="23"/>
      <c r="AE41" s="1"/>
    </row>
    <row r="42" spans="6:38" ht="19" x14ac:dyDescent="0.2">
      <c r="F42" s="18"/>
      <c r="G42" s="1"/>
      <c r="H42" s="1"/>
      <c r="N42" s="18"/>
      <c r="O42" s="1"/>
      <c r="P42" s="1"/>
      <c r="Q42" s="1" t="s">
        <v>128</v>
      </c>
      <c r="R42" s="1">
        <v>4.5289999999999999</v>
      </c>
      <c r="S42" s="1">
        <v>8.6039999999999992</v>
      </c>
      <c r="T42" s="2">
        <v>-25100</v>
      </c>
      <c r="U42" s="2"/>
      <c r="V42" s="18">
        <f>($B$23/T42)^(1/6) * 1.8</f>
        <v>3.0281607728748128</v>
      </c>
      <c r="W42" s="16" t="str">
        <f>IF(V42&lt;=2.5, "strong", IF(V42&lt;3.5, "medium", "weak"))</f>
        <v>medium</v>
      </c>
      <c r="X42" s="1"/>
      <c r="Y42" s="1" t="s">
        <v>96</v>
      </c>
      <c r="Z42" s="1">
        <v>1.841</v>
      </c>
      <c r="AA42" s="1">
        <v>4.4530000000000003</v>
      </c>
      <c r="AB42" s="2">
        <v>-672000</v>
      </c>
      <c r="AC42" s="2"/>
      <c r="AD42" s="18">
        <f>($B$23/AB42)^(1/6) * 1.8</f>
        <v>1.7507723156962947</v>
      </c>
      <c r="AE42" s="16" t="str">
        <f t="shared" si="3"/>
        <v>strong</v>
      </c>
      <c r="AF42" s="1"/>
      <c r="AG42" s="1"/>
      <c r="AH42" s="1"/>
      <c r="AI42" s="1"/>
      <c r="AJ42" s="1"/>
      <c r="AK42" s="1"/>
      <c r="AL42" s="1"/>
    </row>
    <row r="43" spans="6:38" ht="19" x14ac:dyDescent="0.2">
      <c r="Q43" s="1" t="s">
        <v>129</v>
      </c>
      <c r="R43" s="1">
        <v>3.7589999999999999</v>
      </c>
      <c r="S43" s="1">
        <v>8.42</v>
      </c>
      <c r="T43" s="2">
        <v>-22700</v>
      </c>
      <c r="U43" s="2"/>
      <c r="V43" s="18">
        <f>($B$23/T43)^(1/6) * 1.8</f>
        <v>3.0793111411762522</v>
      </c>
      <c r="W43" s="16" t="str">
        <f>IF(V43&lt;=2.5, "strong", IF(V43&lt;3.5, "medium", "weak"))</f>
        <v>medium</v>
      </c>
    </row>
    <row r="44" spans="6:38" x14ac:dyDescent="0.2">
      <c r="AB44" s="2"/>
    </row>
    <row r="45" spans="6:38" ht="19" x14ac:dyDescent="0.2">
      <c r="Q45" s="1" t="s">
        <v>130</v>
      </c>
      <c r="R45" s="1">
        <v>2.032</v>
      </c>
      <c r="S45" s="1">
        <v>8.4049999999999994</v>
      </c>
      <c r="T45" s="2">
        <v>-15800</v>
      </c>
      <c r="U45" s="2"/>
      <c r="V45" s="18">
        <f>($B$23/T45)^(1/6) * 1.8</f>
        <v>3.2710087184088907</v>
      </c>
      <c r="W45" s="16" t="str">
        <f>IF(V45&lt;=2.5, "strong", IF(V45&lt;3.5, "medium", "weak"))</f>
        <v>medium</v>
      </c>
    </row>
    <row r="47" spans="6:38" ht="19" x14ac:dyDescent="0.2">
      <c r="Q47" s="1" t="s">
        <v>131</v>
      </c>
      <c r="R47" s="1">
        <v>3.7519999999999998</v>
      </c>
      <c r="S47" s="1">
        <v>8.6039999999999992</v>
      </c>
      <c r="T47" s="2">
        <v>-9580</v>
      </c>
      <c r="U47" s="2"/>
      <c r="V47" s="18">
        <f>($B$23/T47)^(1/6) * 1.8</f>
        <v>3.5554695588327303</v>
      </c>
      <c r="W47" s="16" t="str">
        <f>IF(V47&lt;=2.5, "strong", IF(V47&lt;3.5, "medium", "weak"))</f>
        <v>weak</v>
      </c>
    </row>
  </sheetData>
  <conditionalFormatting sqref="F1:H1 W36:W37 W39 W41:W43 W45 W47 G2:H2 H3:H19 G3:G10">
    <cfRule type="colorScale" priority="45">
      <colorScale>
        <cfvo type="num" val="0.3"/>
        <cfvo type="num" val="0.55000000000000004"/>
        <cfvo type="num" val="0.8"/>
        <color rgb="FFFFFF00"/>
        <color rgb="FFFFC000"/>
        <color rgb="FFC00000"/>
      </colorScale>
    </cfRule>
    <cfRule type="colorScale" priority="46">
      <colorScale>
        <cfvo type="num" val="0.3"/>
        <cfvo type="num" val="0.55000000000000004"/>
        <cfvo type="num" val="0.8"/>
        <color rgb="FFFFC000"/>
        <color rgb="FF92D050"/>
        <color theme="7" tint="0.79998168889431442"/>
      </colorScale>
    </cfRule>
  </conditionalFormatting>
  <conditionalFormatting sqref="I1:I1048576 Y1:Y1048576 A22:A1048576 A1:A10 Q1:Q1048576">
    <cfRule type="duplicateValues" dxfId="0" priority="47"/>
  </conditionalFormatting>
  <conditionalFormatting sqref="N1">
    <cfRule type="colorScale" priority="43">
      <colorScale>
        <cfvo type="num" val="0.3"/>
        <cfvo type="num" val="0.55000000000000004"/>
        <cfvo type="num" val="0.8"/>
        <color rgb="FFFFFF00"/>
        <color rgb="FFFFC000"/>
        <color rgb="FFC00000"/>
      </colorScale>
    </cfRule>
    <cfRule type="colorScale" priority="44">
      <colorScale>
        <cfvo type="num" val="0.3"/>
        <cfvo type="num" val="0.55000000000000004"/>
        <cfvo type="num" val="0.8"/>
        <color rgb="FFFFC000"/>
        <color rgb="FF92D050"/>
        <color theme="7" tint="0.79998168889431442"/>
      </colorScale>
    </cfRule>
  </conditionalFormatting>
  <conditionalFormatting sqref="N2:N3 N5 N7:N8 N10 N12:N17 N19:N21 N23:N25 N27:N28 N30:N33">
    <cfRule type="colorScale" priority="29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N4">
    <cfRule type="colorScale" priority="26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N6">
    <cfRule type="colorScale" priority="25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N9">
    <cfRule type="colorScale" priority="24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N11">
    <cfRule type="colorScale" priority="23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N18">
    <cfRule type="colorScale" priority="22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N22">
    <cfRule type="colorScale" priority="21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N26">
    <cfRule type="colorScale" priority="20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N29">
    <cfRule type="colorScale" priority="19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O1">
    <cfRule type="colorScale" priority="36">
      <colorScale>
        <cfvo type="num" val="0.3"/>
        <cfvo type="num" val="0.55000000000000004"/>
        <cfvo type="num" val="0.8"/>
        <color rgb="FFFFFF00"/>
        <color rgb="FFFFC000"/>
        <color rgb="FFC00000"/>
      </colorScale>
    </cfRule>
    <cfRule type="colorScale" priority="37">
      <colorScale>
        <cfvo type="num" val="0.3"/>
        <cfvo type="num" val="0.55000000000000004"/>
        <cfvo type="num" val="0.8"/>
        <color rgb="FFFFC000"/>
        <color rgb="FF92D050"/>
        <color theme="7" tint="0.79998168889431442"/>
      </colorScale>
    </cfRule>
  </conditionalFormatting>
  <conditionalFormatting sqref="O4:O7 O2 O9:O14 O16 O18:O20 O22:O23 O25:O27 O29:O30 O32:O33">
    <cfRule type="colorScale" priority="27">
      <colorScale>
        <cfvo type="num" val="0.3"/>
        <cfvo type="num" val="0.55000000000000004"/>
        <cfvo type="num" val="0.8"/>
        <color rgb="FFFFFF00"/>
        <color rgb="FFFFC000"/>
        <color rgb="FFC00000"/>
      </colorScale>
    </cfRule>
    <cfRule type="colorScale" priority="28">
      <colorScale>
        <cfvo type="num" val="0.3"/>
        <cfvo type="num" val="0.55000000000000004"/>
        <cfvo type="num" val="0.8"/>
        <color rgb="FFFFC000"/>
        <color rgb="FF92D050"/>
        <color theme="7" tint="0.79998168889431442"/>
      </colorScale>
    </cfRule>
  </conditionalFormatting>
  <conditionalFormatting sqref="V1">
    <cfRule type="colorScale" priority="41">
      <colorScale>
        <cfvo type="num" val="0.3"/>
        <cfvo type="num" val="0.55000000000000004"/>
        <cfvo type="num" val="0.8"/>
        <color rgb="FFFFFF00"/>
        <color rgb="FFFFC000"/>
        <color rgb="FFC00000"/>
      </colorScale>
    </cfRule>
    <cfRule type="colorScale" priority="42">
      <colorScale>
        <cfvo type="num" val="0.3"/>
        <cfvo type="num" val="0.55000000000000004"/>
        <cfvo type="num" val="0.8"/>
        <color rgb="FFFFC000"/>
        <color rgb="FF92D050"/>
        <color theme="7" tint="0.79998168889431442"/>
      </colorScale>
    </cfRule>
  </conditionalFormatting>
  <conditionalFormatting sqref="V2:V7 V9:V10 V12:V13 V15:V16 V18:V19 V21:V22 V24:V25 V27:V28 V30:V34">
    <cfRule type="colorScale" priority="31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V8">
    <cfRule type="colorScale" priority="18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V11">
    <cfRule type="colorScale" priority="17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V14">
    <cfRule type="colorScale" priority="16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V17">
    <cfRule type="colorScale" priority="15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V20">
    <cfRule type="colorScale" priority="14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V23">
    <cfRule type="colorScale" priority="13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V26">
    <cfRule type="colorScale" priority="12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V29">
    <cfRule type="colorScale" priority="11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V36:V37 V39 V41:V43 V45 V47 F2:F10">
    <cfRule type="colorScale" priority="38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W1:W4 W6 W8:W9 W11:W12 W14:W15 W17:W18 W20:W21 W23:W24 W26:W27 W29:W31 W33:W34">
    <cfRule type="colorScale" priority="34">
      <colorScale>
        <cfvo type="num" val="0.3"/>
        <cfvo type="num" val="0.55000000000000004"/>
        <cfvo type="num" val="0.8"/>
        <color rgb="FFFFFF00"/>
        <color rgb="FFFFC000"/>
        <color rgb="FFC00000"/>
      </colorScale>
    </cfRule>
    <cfRule type="colorScale" priority="35">
      <colorScale>
        <cfvo type="num" val="0.3"/>
        <cfvo type="num" val="0.55000000000000004"/>
        <cfvo type="num" val="0.8"/>
        <color rgb="FFFFC000"/>
        <color rgb="FF92D050"/>
        <color theme="7" tint="0.79998168889431442"/>
      </colorScale>
    </cfRule>
  </conditionalFormatting>
  <conditionalFormatting sqref="AD1">
    <cfRule type="colorScale" priority="39">
      <colorScale>
        <cfvo type="num" val="0.3"/>
        <cfvo type="num" val="0.55000000000000004"/>
        <cfvo type="num" val="0.8"/>
        <color rgb="FFFFFF00"/>
        <color rgb="FFFFC000"/>
        <color rgb="FFC00000"/>
      </colorScale>
    </cfRule>
    <cfRule type="colorScale" priority="40">
      <colorScale>
        <cfvo type="num" val="0.3"/>
        <cfvo type="num" val="0.55000000000000004"/>
        <cfvo type="num" val="0.8"/>
        <color rgb="FFFFC000"/>
        <color rgb="FF92D050"/>
        <color theme="7" tint="0.79998168889431442"/>
      </colorScale>
    </cfRule>
  </conditionalFormatting>
  <conditionalFormatting sqref="AD3">
    <cfRule type="colorScale" priority="10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D4:AD6 AD2 AD8:AD10 AD12:AD14 AD16:AD18 AD20:AD22 AD24:AD26 AD28:AD30 AD32:AD34 AD36:AD38 AD40:AD42">
    <cfRule type="colorScale" priority="30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D7">
    <cfRule type="colorScale" priority="9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D11">
    <cfRule type="colorScale" priority="8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D15">
    <cfRule type="colorScale" priority="7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D19">
    <cfRule type="colorScale" priority="6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D23">
    <cfRule type="colorScale" priority="5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D27">
    <cfRule type="colorScale" priority="4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D31">
    <cfRule type="colorScale" priority="3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D35">
    <cfRule type="colorScale" priority="2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D39">
    <cfRule type="colorScale" priority="1">
      <colorScale>
        <cfvo type="num" val="3"/>
        <cfvo type="num" val="3.5"/>
        <cfvo type="num" val="4"/>
        <color rgb="FFFF0000"/>
        <color rgb="FFFFC000"/>
        <color rgb="FFFFFF00"/>
      </colorScale>
    </cfRule>
  </conditionalFormatting>
  <conditionalFormatting sqref="AE1:AE4 AE6:AE8 AE10:AE12 AE14:AE16 AE18:AE20 AE22:AE24 AE26:AE28 AE30:AE32 AE34:AE36 AE38:AE40 AE42">
    <cfRule type="colorScale" priority="32">
      <colorScale>
        <cfvo type="num" val="0.3"/>
        <cfvo type="num" val="0.55000000000000004"/>
        <cfvo type="num" val="0.8"/>
        <color rgb="FFFFFF00"/>
        <color rgb="FFFFC000"/>
        <color rgb="FFC00000"/>
      </colorScale>
    </cfRule>
    <cfRule type="colorScale" priority="33">
      <colorScale>
        <cfvo type="num" val="0.3"/>
        <cfvo type="num" val="0.55000000000000004"/>
        <cfvo type="num" val="0.8"/>
        <color rgb="FFFFC000"/>
        <color rgb="FF92D050"/>
        <color theme="7" tint="0.7999816888943144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7mer_1_recal</vt:lpstr>
      <vt:lpstr>7mer_2_recal</vt:lpstr>
      <vt:lpstr>10mer_recal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Starwing Chen</dc:creator>
  <cp:lastModifiedBy>Starwing Chen</cp:lastModifiedBy>
  <dcterms:created xsi:type="dcterms:W3CDTF">2025-04-01T18:36:44Z</dcterms:created>
  <dcterms:modified xsi:type="dcterms:W3CDTF">2025-07-24T21:34:46Z</dcterms:modified>
</cp:coreProperties>
</file>